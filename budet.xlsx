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14\Downloads\"/>
    </mc:Choice>
  </mc:AlternateContent>
  <xr:revisionPtr revIDLastSave="0" documentId="13_ncr:1_{7EABB690-F80A-4654-AB0C-14A18CE588C6}" xr6:coauthVersionLast="47" xr6:coauthVersionMax="47" xr10:uidLastSave="{00000000-0000-0000-0000-000000000000}"/>
  <bookViews>
    <workbookView xWindow="-120" yWindow="-120" windowWidth="29040" windowHeight="15840" xr2:uid="{19EE711A-3283-4873-9107-9C9869A047C7}"/>
  </bookViews>
  <sheets>
    <sheet name="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4" l="1"/>
  <c r="B23" i="4"/>
  <c r="B5" i="4" s="1"/>
  <c r="G23" i="4" l="1"/>
  <c r="B6" i="4" s="1"/>
  <c r="M23" i="4"/>
  <c r="N23" i="4"/>
  <c r="R23" i="4"/>
  <c r="S23" i="4"/>
  <c r="V23" i="4"/>
  <c r="B7" i="4" s="1"/>
  <c r="W23" i="4"/>
  <c r="C7" i="4" s="1"/>
  <c r="A2" i="4" a="1"/>
  <c r="A2" i="4" s="1"/>
  <c r="Q15" i="4" s="1"/>
  <c r="H13" i="4" a="1"/>
  <c r="C13" i="4" a="1"/>
  <c r="Q13" i="4" l="1"/>
  <c r="Q14" i="4"/>
  <c r="Q16" i="4"/>
  <c r="L13" i="4"/>
  <c r="L19" i="4"/>
  <c r="L14" i="4"/>
  <c r="L17" i="4"/>
  <c r="L18" i="4"/>
  <c r="L15" i="4"/>
  <c r="L16" i="4"/>
  <c r="B9" i="4"/>
  <c r="D7" i="4"/>
  <c r="H13" i="4"/>
  <c r="I13" i="4" s="1"/>
  <c r="C13" i="4"/>
  <c r="D13" i="4" s="1"/>
  <c r="C19" i="4" a="1"/>
  <c r="C21" i="4" a="1"/>
  <c r="C20" i="4" a="1"/>
  <c r="C22" i="4" a="1"/>
  <c r="H14" i="4" a="1"/>
  <c r="H15" i="4" a="1"/>
  <c r="H16" i="4" a="1"/>
  <c r="H17" i="4" a="1"/>
  <c r="H18" i="4" a="1"/>
  <c r="H19" i="4" a="1"/>
  <c r="H20" i="4" a="1"/>
  <c r="H21" i="4" a="1"/>
  <c r="C14" i="4" a="1"/>
  <c r="C17" i="4" a="1"/>
  <c r="C16" i="4" a="1"/>
  <c r="C18" i="4" a="1"/>
  <c r="C15" i="4" a="1"/>
  <c r="C22" i="4" l="1"/>
  <c r="D22" i="4" s="1"/>
  <c r="C20" i="4"/>
  <c r="D20" i="4" s="1"/>
  <c r="C21" i="4"/>
  <c r="D21" i="4" s="1"/>
  <c r="C19" i="4"/>
  <c r="D19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C15" i="4"/>
  <c r="D15" i="4" s="1"/>
  <c r="C18" i="4"/>
  <c r="D18" i="4" s="1"/>
  <c r="C16" i="4"/>
  <c r="D16" i="4" s="1"/>
  <c r="C17" i="4"/>
  <c r="D17" i="4" s="1"/>
  <c r="C14" i="4"/>
  <c r="D14" i="4" s="1"/>
  <c r="D23" i="4" l="1"/>
  <c r="D5" i="4" s="1"/>
  <c r="I23" i="4"/>
  <c r="D6" i="4" s="1"/>
  <c r="H23" i="4"/>
  <c r="C6" i="4" s="1"/>
  <c r="C23" i="4"/>
  <c r="C5" i="4" s="1"/>
  <c r="C9" i="4" l="1"/>
  <c r="D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<sst xmlns="http://schemas.openxmlformats.org/spreadsheetml/2006/main" count="66" uniqueCount="48">
  <si>
    <t>Category</t>
  </si>
  <si>
    <t>Month</t>
  </si>
  <si>
    <t>Groceries</t>
  </si>
  <si>
    <t>Accomodation</t>
  </si>
  <si>
    <t>Entertainment</t>
  </si>
  <si>
    <t>Allowance</t>
  </si>
  <si>
    <t>Income</t>
  </si>
  <si>
    <t>Expenses</t>
  </si>
  <si>
    <t>Bills</t>
  </si>
  <si>
    <t>Subsriptions</t>
  </si>
  <si>
    <t>Savings</t>
  </si>
  <si>
    <t>Source</t>
  </si>
  <si>
    <t>Planned</t>
  </si>
  <si>
    <t>Acual</t>
  </si>
  <si>
    <t>Actual</t>
  </si>
  <si>
    <t>Bill</t>
  </si>
  <si>
    <t>Service</t>
  </si>
  <si>
    <t>Aim</t>
  </si>
  <si>
    <t>Rent</t>
  </si>
  <si>
    <t>Spotify</t>
  </si>
  <si>
    <t>Netflix</t>
  </si>
  <si>
    <t>Gas</t>
  </si>
  <si>
    <t>Storytel</t>
  </si>
  <si>
    <t>Hobby</t>
  </si>
  <si>
    <t>Water</t>
  </si>
  <si>
    <t>ChatGPT</t>
  </si>
  <si>
    <t>Waste</t>
  </si>
  <si>
    <t>Phone</t>
  </si>
  <si>
    <t>Internet</t>
  </si>
  <si>
    <t>Sum</t>
  </si>
  <si>
    <t>Left</t>
  </si>
  <si>
    <t>Incomes</t>
  </si>
  <si>
    <t>Balance</t>
  </si>
  <si>
    <t>Scholarship</t>
  </si>
  <si>
    <t>Salary</t>
  </si>
  <si>
    <t>Other incoms</t>
  </si>
  <si>
    <t>Gift</t>
  </si>
  <si>
    <t>Financial</t>
  </si>
  <si>
    <t>Clothing</t>
  </si>
  <si>
    <t>Health%Beauty</t>
  </si>
  <si>
    <t>Multimedia</t>
  </si>
  <si>
    <t>Other expences</t>
  </si>
  <si>
    <t>studies</t>
  </si>
  <si>
    <t>Transportation</t>
  </si>
  <si>
    <t>Electricity</t>
  </si>
  <si>
    <t>Laptop</t>
  </si>
  <si>
    <t>Summer holidays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</si>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</sst>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E42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58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FC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4" xfId="0" applyFont="1" applyFill="1" applyBorder="1"/>
    <xf numFmtId="164" fontId="3" fillId="2" borderId="4" xfId="0" applyNumberFormat="1" applyFont="1" applyFill="1" applyBorder="1"/>
    <xf numFmtId="0" fontId="1" fillId="0" borderId="0" xfId="0" applyFont="1"/>
    <xf numFmtId="0" fontId="1" fillId="0" borderId="4" xfId="0" applyFont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10" borderId="4" xfId="0" applyFont="1" applyFill="1" applyBorder="1"/>
    <xf numFmtId="0" fontId="1" fillId="11" borderId="4" xfId="0" applyFont="1" applyFill="1" applyBorder="1"/>
    <xf numFmtId="0" fontId="1" fillId="12" borderId="4" xfId="0" applyFont="1" applyFill="1" applyBorder="1"/>
    <xf numFmtId="164" fontId="1" fillId="12" borderId="4" xfId="0" applyNumberFormat="1" applyFont="1" applyFill="1" applyBorder="1"/>
    <xf numFmtId="0" fontId="1" fillId="13" borderId="4" xfId="0" applyFont="1" applyFill="1" applyBorder="1"/>
    <xf numFmtId="164" fontId="1" fillId="13" borderId="4" xfId="0" applyNumberFormat="1" applyFont="1" applyFill="1" applyBorder="1"/>
    <xf numFmtId="0" fontId="1" fillId="14" borderId="4" xfId="0" applyFont="1" applyFill="1" applyBorder="1"/>
    <xf numFmtId="164" fontId="1" fillId="14" borderId="4" xfId="0" applyNumberFormat="1" applyFont="1" applyFill="1" applyBorder="1"/>
    <xf numFmtId="0" fontId="1" fillId="15" borderId="4" xfId="0" applyFont="1" applyFill="1" applyBorder="1"/>
    <xf numFmtId="164" fontId="1" fillId="15" borderId="4" xfId="0" applyNumberFormat="1" applyFont="1" applyFill="1" applyBorder="1"/>
    <xf numFmtId="0" fontId="1" fillId="16" borderId="4" xfId="0" applyFont="1" applyFill="1" applyBorder="1"/>
    <xf numFmtId="164" fontId="1" fillId="16" borderId="4" xfId="0" applyNumberFormat="1" applyFont="1" applyFill="1" applyBorder="1"/>
    <xf numFmtId="164" fontId="1" fillId="3" borderId="4" xfId="0" applyNumberFormat="1" applyFont="1" applyFill="1" applyBorder="1"/>
    <xf numFmtId="0" fontId="1" fillId="4" borderId="4" xfId="0" applyFont="1" applyFill="1" applyBorder="1"/>
    <xf numFmtId="164" fontId="1" fillId="4" borderId="4" xfId="0" applyNumberFormat="1" applyFont="1" applyFill="1" applyBorder="1"/>
    <xf numFmtId="0" fontId="1" fillId="5" borderId="4" xfId="0" applyFont="1" applyFill="1" applyBorder="1"/>
    <xf numFmtId="164" fontId="1" fillId="5" borderId="4" xfId="0" applyNumberFormat="1" applyFont="1" applyFill="1" applyBorder="1"/>
    <xf numFmtId="0" fontId="1" fillId="6" borderId="4" xfId="0" applyFont="1" applyFill="1" applyBorder="1"/>
    <xf numFmtId="164" fontId="1" fillId="6" borderId="4" xfId="0" applyNumberFormat="1" applyFont="1" applyFill="1" applyBorder="1"/>
    <xf numFmtId="0" fontId="3" fillId="2" borderId="4" xfId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/>
    <xf numFmtId="164" fontId="1" fillId="0" borderId="0" xfId="0" applyNumberFormat="1" applyFont="1"/>
    <xf numFmtId="0" fontId="4" fillId="9" borderId="4" xfId="0" applyFont="1" applyFill="1" applyBorder="1"/>
    <xf numFmtId="14" fontId="4" fillId="14" borderId="4" xfId="0" applyNumberFormat="1" applyFont="1" applyFill="1" applyBorder="1"/>
    <xf numFmtId="0" fontId="4" fillId="14" borderId="4" xfId="0" applyFont="1" applyFill="1" applyBorder="1"/>
    <xf numFmtId="0" fontId="4" fillId="4" borderId="4" xfId="0" applyFont="1" applyFill="1" applyBorder="1"/>
    <xf numFmtId="0" fontId="4" fillId="10" borderId="4" xfId="0" applyFont="1" applyFill="1" applyBorder="1"/>
    <xf numFmtId="14" fontId="4" fillId="15" borderId="4" xfId="0" applyNumberFormat="1" applyFont="1" applyFill="1" applyBorder="1"/>
    <xf numFmtId="0" fontId="4" fillId="15" borderId="4" xfId="0" applyFont="1" applyFill="1" applyBorder="1"/>
    <xf numFmtId="0" fontId="4" fillId="5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8.727077865266844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'1'!$B$4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'1'!$A$5:$A$9</c:f>
              <c:strCache>
                <c:ptCount val="5"/>
                <c:pt idx="0">
                  <c:v>Incomes</c:v>
                </c:pt>
                <c:pt idx="1">
                  <c:v>Expenses</c:v>
                </c:pt>
                <c:pt idx="2">
                  <c:v>Savings</c:v>
                </c:pt>
                <c:pt idx="4">
                  <c:v>Balance</c:v>
                </c:pt>
              </c:strCache>
            </c:strRef>
          </c:cat>
          <c:val>
            <c:numRef>
              <c:f>'1'!$B$5:$B$9</c:f>
              <c:numCache>
                <c:formatCode>_-* #,##0.00\ [$zł-415]_-;\-* #,##0.00\ [$zł-415]_-;_-* "-"??\ [$zł-415]_-;_-@_-</c:formatCode>
                <c:ptCount val="5"/>
                <c:pt idx="0">
                  <c:v>5700</c:v>
                </c:pt>
                <c:pt idx="1">
                  <c:v>3795</c:v>
                </c:pt>
                <c:pt idx="2">
                  <c:v>1300</c:v>
                </c:pt>
                <c:pt idx="4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E-42D9-AD94-6B63E7D52044}"/>
            </c:ext>
          </c:extLst>
        </c:ser>
        <c:ser>
          <c:idx val="1"/>
          <c:order val="1"/>
          <c:tx>
            <c:strRef>
              <c:f>'1'!$C$4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'1'!$A$5:$A$9</c:f>
              <c:strCache>
                <c:ptCount val="5"/>
                <c:pt idx="0">
                  <c:v>Incomes</c:v>
                </c:pt>
                <c:pt idx="1">
                  <c:v>Expenses</c:v>
                </c:pt>
                <c:pt idx="2">
                  <c:v>Savings</c:v>
                </c:pt>
                <c:pt idx="4">
                  <c:v>Balance</c:v>
                </c:pt>
              </c:strCache>
            </c:strRef>
          </c:cat>
          <c:val>
            <c:numRef>
              <c:f>'1'!$C$5:$C$9</c:f>
              <c:numCache>
                <c:formatCode>_-* #,##0.00\ [$zł-415]_-;\-* #,##0.00\ [$zł-415]_-;_-* "-"??\ [$zł-415]_-;_-@_-</c:formatCode>
                <c:ptCount val="5"/>
                <c:pt idx="0">
                  <c:v>5655.5</c:v>
                </c:pt>
                <c:pt idx="1">
                  <c:v>4710</c:v>
                </c:pt>
                <c:pt idx="2">
                  <c:v>0</c:v>
                </c:pt>
                <c:pt idx="4">
                  <c:v>945.5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E-42D9-AD94-6B63E7D52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662687"/>
        <c:axId val="1426660767"/>
      </c:barChart>
      <c:catAx>
        <c:axId val="14266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26660767"/>
        <c:crosses val="autoZero"/>
        <c:auto val="1"/>
        <c:lblAlgn val="ctr"/>
        <c:lblOffset val="100"/>
        <c:noMultiLvlLbl val="0"/>
      </c:catAx>
      <c:valAx>
        <c:axId val="142666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[$zł-415]_-;\-* #,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2666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0</xdr:row>
      <xdr:rowOff>171450</xdr:rowOff>
    </xdr:from>
    <xdr:to>
      <xdr:col>8</xdr:col>
      <xdr:colOff>76199</xdr:colOff>
      <xdr:row>9</xdr:row>
      <xdr:rowOff>157161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79DC74-8CB6-8618-ADA5-89E896A08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23E3-E510-F74B-970A-F4FD183212A6}">
  <dimension ref="A1:W23"/>
  <sheetViews>
    <sheetView tabSelected="1" workbookViewId="0">
      <selection activeCell="J4" sqref="J4"/>
    </sheetView>
  </sheetViews>
  <sheetFormatPr defaultColWidth="11.42578125" defaultRowHeight="15" x14ac:dyDescent="0.25"/>
  <cols>
    <col min="1" max="5" width="12.7109375" bestFit="1" customWidth="1"/>
    <col min="6" max="9" width="14" bestFit="1" customWidth="1"/>
    <col min="10" max="11" width="12.7109375" bestFit="1" customWidth="1"/>
    <col min="12" max="12" width="12.7109375" customWidth="1"/>
    <col min="13" max="16" width="12.7109375" bestFit="1" customWidth="1"/>
    <col min="17" max="17" width="12.7109375" customWidth="1"/>
    <col min="18" max="20" width="12.7109375" bestFit="1" customWidth="1"/>
    <col min="21" max="21" width="16.42578125" bestFit="1" customWidth="1"/>
    <col min="22" max="23" width="12.7109375" bestFit="1" customWidth="1"/>
  </cols>
  <sheetData>
    <row r="1" spans="1:23" x14ac:dyDescent="0.25">
      <c r="A1" s="38" t="s">
        <v>1</v>
      </c>
      <c r="B1" s="38"/>
      <c r="C1" s="38"/>
      <c r="D1" s="3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3" x14ac:dyDescent="0.25">
      <c r="A2" s="38" t="str" cm="1">
        <f t="array" aca="1" ref="A2" ca="1">RIGHT(CELL("filename",A1),LEN(CELL("filename",A1))-FIND("]",CELL("filename",A1)))</f>
        <v>1</v>
      </c>
      <c r="B2" s="38"/>
      <c r="C2" s="38"/>
      <c r="D2" s="3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3" x14ac:dyDescent="0.25">
      <c r="A4" s="4"/>
      <c r="B4" s="4" t="s">
        <v>12</v>
      </c>
      <c r="C4" s="4" t="s">
        <v>14</v>
      </c>
      <c r="D4" s="4" t="s">
        <v>30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3" x14ac:dyDescent="0.25">
      <c r="A5" s="4" t="s">
        <v>31</v>
      </c>
      <c r="B5" s="39">
        <f>B23</f>
        <v>5700</v>
      </c>
      <c r="C5" s="39">
        <f t="shared" ref="C5:D5" ca="1" si="0">C23</f>
        <v>5655.5</v>
      </c>
      <c r="D5" s="39">
        <f t="shared" ca="1" si="0"/>
        <v>-44.5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3" x14ac:dyDescent="0.25">
      <c r="A6" s="4" t="s">
        <v>7</v>
      </c>
      <c r="B6" s="39">
        <f>G23</f>
        <v>3795</v>
      </c>
      <c r="C6" s="39">
        <f t="shared" ref="C6:D6" ca="1" si="1">H23</f>
        <v>4710</v>
      </c>
      <c r="D6" s="39">
        <f t="shared" ca="1" si="1"/>
        <v>-915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3" x14ac:dyDescent="0.25">
      <c r="A7" s="4" t="s">
        <v>10</v>
      </c>
      <c r="B7" s="39">
        <f>V23</f>
        <v>1300</v>
      </c>
      <c r="C7" s="39">
        <f>W23</f>
        <v>0</v>
      </c>
      <c r="D7" s="39">
        <f>C7-B7</f>
        <v>-1300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3" x14ac:dyDescent="0.25">
      <c r="A8" s="3"/>
      <c r="B8" s="40"/>
      <c r="C8" s="40"/>
      <c r="D8" s="4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3" x14ac:dyDescent="0.25">
      <c r="A9" s="4" t="s">
        <v>32</v>
      </c>
      <c r="B9" s="39">
        <f>B5-B6-B7</f>
        <v>605</v>
      </c>
      <c r="C9" s="39">
        <f t="shared" ref="C9" ca="1" si="2">C5-C6-C7</f>
        <v>945.5</v>
      </c>
      <c r="D9" s="39">
        <f ca="1">D5+D6-D7</f>
        <v>340.5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3" ht="15.75" x14ac:dyDescent="0.25">
      <c r="A11" s="36" t="s">
        <v>6</v>
      </c>
      <c r="B11" s="36"/>
      <c r="C11" s="36"/>
      <c r="D11" s="36"/>
      <c r="E11" s="3"/>
      <c r="F11" s="37" t="s">
        <v>7</v>
      </c>
      <c r="G11" s="37"/>
      <c r="H11" s="37"/>
      <c r="I11" s="37"/>
      <c r="J11" s="3"/>
      <c r="K11" s="5" t="s">
        <v>8</v>
      </c>
      <c r="L11" s="6"/>
      <c r="M11" s="6"/>
      <c r="N11" s="7"/>
      <c r="O11" s="3"/>
      <c r="P11" s="8" t="s">
        <v>9</v>
      </c>
      <c r="Q11" s="9"/>
      <c r="R11" s="9"/>
      <c r="S11" s="10"/>
      <c r="T11" s="3"/>
      <c r="U11" s="11" t="s">
        <v>10</v>
      </c>
      <c r="V11" s="12"/>
      <c r="W11" s="13"/>
    </row>
    <row r="12" spans="1:23" x14ac:dyDescent="0.25">
      <c r="A12" s="14" t="s">
        <v>11</v>
      </c>
      <c r="B12" s="14" t="s">
        <v>12</v>
      </c>
      <c r="C12" s="14" t="s">
        <v>13</v>
      </c>
      <c r="D12" s="14" t="s">
        <v>30</v>
      </c>
      <c r="E12" s="3"/>
      <c r="F12" s="15" t="s">
        <v>0</v>
      </c>
      <c r="G12" s="15" t="s">
        <v>12</v>
      </c>
      <c r="H12" s="15" t="s">
        <v>14</v>
      </c>
      <c r="I12" s="15" t="s">
        <v>30</v>
      </c>
      <c r="J12" s="3"/>
      <c r="K12" s="16" t="s">
        <v>15</v>
      </c>
      <c r="L12" s="41" t="s">
        <v>47</v>
      </c>
      <c r="M12" s="16" t="s">
        <v>12</v>
      </c>
      <c r="N12" s="16" t="s">
        <v>14</v>
      </c>
      <c r="O12" s="3"/>
      <c r="P12" s="17" t="s">
        <v>16</v>
      </c>
      <c r="Q12" s="45" t="s">
        <v>47</v>
      </c>
      <c r="R12" s="17" t="s">
        <v>12</v>
      </c>
      <c r="S12" s="17" t="s">
        <v>14</v>
      </c>
      <c r="T12" s="3"/>
      <c r="U12" s="18" t="s">
        <v>17</v>
      </c>
      <c r="V12" s="18" t="s">
        <v>12</v>
      </c>
      <c r="W12" s="18" t="s">
        <v>14</v>
      </c>
    </row>
    <row r="13" spans="1:23" x14ac:dyDescent="0.25">
      <c r="A13" s="19" t="s">
        <v>5</v>
      </c>
      <c r="B13" s="20">
        <v>2500</v>
      </c>
      <c r="C13" s="20" cm="1">
        <f t="array" aca="1" ref="C13" ca="1">_xlfn.XLOOKUP(A13,INDIRECT("Finanse.xlsx!Incomes_"&amp;$A$2&amp;"[Category]"),INDIRECT("Finanse.xlsx!Incomes_"&amp;$A$2&amp;"[Total]"),0,0,1)</f>
        <v>250</v>
      </c>
      <c r="D13" s="20">
        <f ca="1">C13-B13</f>
        <v>-2250</v>
      </c>
      <c r="E13" s="3"/>
      <c r="F13" s="21" t="s">
        <v>3</v>
      </c>
      <c r="G13" s="22">
        <v>1735</v>
      </c>
      <c r="H13" s="22" cm="1">
        <f t="array" aca="1" ref="H13" ca="1">-_xlfn.XLOOKUP(F13,INDIRECT("Finanse.xlsx!Expenses_"&amp;$A$2&amp;"[Category]"),INDIRECT("Finanse.xlsx!Expenses_"&amp;$A$2&amp;"[Total]"),0,0,1)</f>
        <v>2000</v>
      </c>
      <c r="I13" s="22">
        <f ca="1">G13-H13</f>
        <v>-265</v>
      </c>
      <c r="J13" s="3"/>
      <c r="K13" s="23" t="s">
        <v>18</v>
      </c>
      <c r="L13" s="42">
        <f ca="1">DATE(2025,$A$2,10)</f>
        <v>45667</v>
      </c>
      <c r="M13" s="24">
        <v>2200</v>
      </c>
      <c r="N13" s="24"/>
      <c r="O13" s="3"/>
      <c r="P13" s="25" t="s">
        <v>19</v>
      </c>
      <c r="Q13" s="46">
        <f ca="1">DATE(2025,$A$2,15)</f>
        <v>45672</v>
      </c>
      <c r="R13" s="26">
        <v>12.99</v>
      </c>
      <c r="S13" s="26"/>
      <c r="T13" s="3"/>
      <c r="U13" s="27" t="s">
        <v>45</v>
      </c>
      <c r="V13" s="28">
        <v>500</v>
      </c>
      <c r="W13" s="28">
        <v>0</v>
      </c>
    </row>
    <row r="14" spans="1:23" x14ac:dyDescent="0.25">
      <c r="A14" s="19" t="s">
        <v>37</v>
      </c>
      <c r="B14" s="20">
        <v>300</v>
      </c>
      <c r="C14" s="20" cm="1">
        <f t="array" aca="1" ref="C14" ca="1">_xlfn.XLOOKUP(A14,INDIRECT("Finanse.xlsx!Incomes_"&amp;$A$2&amp;"[Category]"),INDIRECT("Finanse.xlsx!Incomes_"&amp;$A$2&amp;"[Total]"),0,0,1)</f>
        <v>105.5</v>
      </c>
      <c r="D14" s="20">
        <f t="shared" ref="D14:D22" ca="1" si="3">C14-B14</f>
        <v>-194.5</v>
      </c>
      <c r="E14" s="3"/>
      <c r="F14" s="21" t="s">
        <v>38</v>
      </c>
      <c r="G14" s="22">
        <v>200</v>
      </c>
      <c r="H14" s="22" cm="1">
        <f t="array" aca="1" ref="H14" ca="1">-_xlfn.XLOOKUP(F14,INDIRECT("Finanse.xlsx!Expenses_"&amp;$A$2&amp;"[Category]"),INDIRECT("Finanse.xlsx!Expenses_"&amp;$A$2&amp;"[Total]"),0,0,1)</f>
        <v>80</v>
      </c>
      <c r="I14" s="22">
        <f t="shared" ref="I14:I23" ca="1" si="4">G14-H14</f>
        <v>120</v>
      </c>
      <c r="J14" s="3"/>
      <c r="K14" s="23" t="s">
        <v>44</v>
      </c>
      <c r="L14" s="42">
        <f ca="1">DATE(2025,$A$2,15)</f>
        <v>45672</v>
      </c>
      <c r="M14" s="24">
        <v>115</v>
      </c>
      <c r="N14" s="24"/>
      <c r="O14" s="3"/>
      <c r="P14" s="25" t="s">
        <v>20</v>
      </c>
      <c r="Q14" s="46">
        <f t="shared" ref="Q14:Q16" ca="1" si="5">DATE(2025,$A$2,15)</f>
        <v>45672</v>
      </c>
      <c r="R14" s="26">
        <v>33</v>
      </c>
      <c r="S14" s="26"/>
      <c r="T14" s="3"/>
      <c r="U14" s="27" t="s">
        <v>46</v>
      </c>
      <c r="V14" s="28">
        <v>800</v>
      </c>
      <c r="W14" s="28">
        <v>0</v>
      </c>
    </row>
    <row r="15" spans="1:23" x14ac:dyDescent="0.25">
      <c r="A15" s="19" t="s">
        <v>36</v>
      </c>
      <c r="B15" s="20">
        <v>500</v>
      </c>
      <c r="C15" s="20" cm="1">
        <f t="array" aca="1" ref="C15" ca="1">_xlfn.XLOOKUP(A15,INDIRECT("Finanse.xlsx!Incomes_"&amp;$A$2&amp;"[Category]"),INDIRECT("Finanse.xlsx!Incomes_"&amp;$A$2&amp;"[Total]"),0,0,1)</f>
        <v>0</v>
      </c>
      <c r="D15" s="20">
        <f t="shared" ca="1" si="3"/>
        <v>-500</v>
      </c>
      <c r="E15" s="3"/>
      <c r="F15" s="21" t="s">
        <v>4</v>
      </c>
      <c r="G15" s="22">
        <v>300</v>
      </c>
      <c r="H15" s="22" cm="1">
        <f t="array" aca="1" ref="H15" ca="1">-_xlfn.XLOOKUP(F15,INDIRECT("Finanse.xlsx!Expenses_"&amp;$A$2&amp;"[Category]"),INDIRECT("Finanse.xlsx!Expenses_"&amp;$A$2&amp;"[Total]"),0,0,1)</f>
        <v>85</v>
      </c>
      <c r="I15" s="22">
        <f t="shared" ca="1" si="4"/>
        <v>215</v>
      </c>
      <c r="J15" s="3"/>
      <c r="K15" s="23" t="s">
        <v>21</v>
      </c>
      <c r="L15" s="42">
        <f t="shared" ref="L14:L19" ca="1" si="6">DATE(2025,$A$2,10)</f>
        <v>45667</v>
      </c>
      <c r="M15" s="24">
        <v>65</v>
      </c>
      <c r="N15" s="24"/>
      <c r="O15" s="3"/>
      <c r="P15" s="25" t="s">
        <v>22</v>
      </c>
      <c r="Q15" s="46">
        <f ca="1">DATE(2025,$A$2,1)</f>
        <v>45658</v>
      </c>
      <c r="R15" s="26">
        <v>24.9</v>
      </c>
      <c r="S15" s="26"/>
      <c r="T15" s="3"/>
      <c r="U15" s="27" t="s">
        <v>23</v>
      </c>
      <c r="V15" s="28"/>
      <c r="W15" s="28"/>
    </row>
    <row r="16" spans="1:23" x14ac:dyDescent="0.25">
      <c r="A16" s="19" t="s">
        <v>35</v>
      </c>
      <c r="B16" s="20">
        <v>100</v>
      </c>
      <c r="C16" s="20" cm="1">
        <f t="array" aca="1" ref="C16" ca="1">_xlfn.XLOOKUP(A16,INDIRECT("Finanse.xlsx!Incomes_"&amp;$A$2&amp;"[Category]"),INDIRECT("Finanse.xlsx!Incomes_"&amp;$A$2&amp;"[Total]"),0,0,1)</f>
        <v>800</v>
      </c>
      <c r="D16" s="20">
        <f t="shared" ca="1" si="3"/>
        <v>700</v>
      </c>
      <c r="E16" s="3"/>
      <c r="F16" s="21" t="s">
        <v>2</v>
      </c>
      <c r="G16" s="22">
        <v>750</v>
      </c>
      <c r="H16" s="22" cm="1">
        <f t="array" aca="1" ref="H16" ca="1">-_xlfn.XLOOKUP(F16,INDIRECT("Finanse.xlsx!Expenses_"&amp;$A$2&amp;"[Category]"),INDIRECT("Finanse.xlsx!Expenses_"&amp;$A$2&amp;"[Total]"),0,0,1)</f>
        <v>1715</v>
      </c>
      <c r="I16" s="22">
        <f t="shared" ca="1" si="4"/>
        <v>-965</v>
      </c>
      <c r="J16" s="3"/>
      <c r="K16" s="23" t="s">
        <v>24</v>
      </c>
      <c r="L16" s="42">
        <f t="shared" ca="1" si="6"/>
        <v>45667</v>
      </c>
      <c r="M16" s="24">
        <v>40</v>
      </c>
      <c r="N16" s="24"/>
      <c r="O16" s="3"/>
      <c r="P16" s="25" t="s">
        <v>25</v>
      </c>
      <c r="Q16" s="46">
        <f t="shared" ca="1" si="5"/>
        <v>45672</v>
      </c>
      <c r="R16" s="26">
        <v>100</v>
      </c>
      <c r="S16" s="26"/>
      <c r="T16" s="3"/>
      <c r="U16" s="27"/>
      <c r="V16" s="28"/>
      <c r="W16" s="28"/>
    </row>
    <row r="17" spans="1:23" x14ac:dyDescent="0.25">
      <c r="A17" s="19" t="s">
        <v>34</v>
      </c>
      <c r="B17" s="20">
        <v>1500</v>
      </c>
      <c r="C17" s="20" cm="1">
        <f t="array" aca="1" ref="C17" ca="1">_xlfn.XLOOKUP(A17,INDIRECT("Finanse.xlsx!Incomes_"&amp;$A$2&amp;"[Category]"),INDIRECT("Finanse.xlsx!Incomes_"&amp;$A$2&amp;"[Total]"),0,0,1)</f>
        <v>4500</v>
      </c>
      <c r="D17" s="20">
        <f t="shared" ca="1" si="3"/>
        <v>3000</v>
      </c>
      <c r="E17" s="3"/>
      <c r="F17" s="21" t="s">
        <v>39</v>
      </c>
      <c r="G17" s="22">
        <v>130</v>
      </c>
      <c r="H17" s="22" cm="1">
        <f t="array" aca="1" ref="H17" ca="1">-_xlfn.XLOOKUP(F17,INDIRECT("Finanse.xlsx!Expenses_"&amp;$A$2&amp;"[Category]"),INDIRECT("Finanse.xlsx!Expenses_"&amp;$A$2&amp;"[Total]"),0,0,1)</f>
        <v>0</v>
      </c>
      <c r="I17" s="22">
        <f t="shared" ca="1" si="4"/>
        <v>130</v>
      </c>
      <c r="J17" s="3"/>
      <c r="K17" s="23" t="s">
        <v>26</v>
      </c>
      <c r="L17" s="42">
        <f ca="1">DATE(2025,$A$2,28)</f>
        <v>45685</v>
      </c>
      <c r="M17" s="24">
        <v>35</v>
      </c>
      <c r="N17" s="24"/>
      <c r="O17" s="3"/>
      <c r="P17" s="25"/>
      <c r="Q17" s="47"/>
      <c r="R17" s="26"/>
      <c r="S17" s="26"/>
      <c r="T17" s="3"/>
      <c r="U17" s="27"/>
      <c r="V17" s="28"/>
      <c r="W17" s="28"/>
    </row>
    <row r="18" spans="1:23" x14ac:dyDescent="0.25">
      <c r="A18" s="19" t="s">
        <v>33</v>
      </c>
      <c r="B18" s="20">
        <v>800</v>
      </c>
      <c r="C18" s="20" cm="1">
        <f t="array" aca="1" ref="C18" ca="1">_xlfn.XLOOKUP(A18,INDIRECT("Finanse.xlsx!Incomes_"&amp;$A$2&amp;"[Category]"),INDIRECT("Finanse.xlsx!Incomes_"&amp;$A$2&amp;"[Total]"),0,0,1)</f>
        <v>0</v>
      </c>
      <c r="D18" s="20">
        <f t="shared" ca="1" si="3"/>
        <v>-800</v>
      </c>
      <c r="E18" s="3"/>
      <c r="F18" s="21" t="s">
        <v>40</v>
      </c>
      <c r="G18" s="22">
        <v>130</v>
      </c>
      <c r="H18" s="22" cm="1">
        <f t="array" aca="1" ref="H18" ca="1">-_xlfn.XLOOKUP(F18,INDIRECT("Finanse.xlsx!Expenses_"&amp;$A$2&amp;"[Category]"),INDIRECT("Finanse.xlsx!Expenses_"&amp;$A$2&amp;"[Total]"),0,0,1)</f>
        <v>150</v>
      </c>
      <c r="I18" s="22">
        <f t="shared" ca="1" si="4"/>
        <v>-20</v>
      </c>
      <c r="J18" s="3"/>
      <c r="K18" s="23" t="s">
        <v>27</v>
      </c>
      <c r="L18" s="42">
        <f t="shared" ca="1" si="6"/>
        <v>45667</v>
      </c>
      <c r="M18" s="24">
        <v>60</v>
      </c>
      <c r="N18" s="24"/>
      <c r="O18" s="3"/>
      <c r="P18" s="25"/>
      <c r="Q18" s="47"/>
      <c r="R18" s="26"/>
      <c r="S18" s="26"/>
      <c r="T18" s="3"/>
      <c r="U18" s="27"/>
      <c r="V18" s="28"/>
      <c r="W18" s="28"/>
    </row>
    <row r="19" spans="1:23" x14ac:dyDescent="0.25">
      <c r="A19" s="19"/>
      <c r="B19" s="20"/>
      <c r="C19" s="20" cm="1">
        <f t="array" aca="1" ref="C19" ca="1">_xlfn.XLOOKUP(A19,INDIRECT("Finanse.xlsx!Incomes_"&amp;$A$2&amp;"[Category]"),INDIRECT("Finanse.xlsx!Incomes_"&amp;$A$2&amp;"[Total]"),0,0,1)</f>
        <v>0</v>
      </c>
      <c r="D19" s="20">
        <f t="shared" ca="1" si="3"/>
        <v>0</v>
      </c>
      <c r="E19" s="3"/>
      <c r="F19" s="21" t="s">
        <v>41</v>
      </c>
      <c r="G19" s="22">
        <v>200</v>
      </c>
      <c r="H19" s="22" cm="1">
        <f t="array" aca="1" ref="H19" ca="1">-_xlfn.XLOOKUP(F19,INDIRECT("Finanse.xlsx!Expenses_"&amp;$A$2&amp;"[Category]"),INDIRECT("Finanse.xlsx!Expenses_"&amp;$A$2&amp;"[Total]"),0,0,1)</f>
        <v>500</v>
      </c>
      <c r="I19" s="22">
        <f t="shared" ca="1" si="4"/>
        <v>-300</v>
      </c>
      <c r="J19" s="3"/>
      <c r="K19" s="23" t="s">
        <v>28</v>
      </c>
      <c r="L19" s="42">
        <f ca="1">DATE(2025,$A$2,20)</f>
        <v>45677</v>
      </c>
      <c r="M19" s="24">
        <v>60</v>
      </c>
      <c r="N19" s="24"/>
      <c r="O19" s="3"/>
      <c r="P19" s="25"/>
      <c r="Q19" s="47"/>
      <c r="R19" s="26"/>
      <c r="S19" s="26"/>
      <c r="T19" s="3"/>
      <c r="U19" s="27"/>
      <c r="V19" s="28"/>
      <c r="W19" s="28"/>
    </row>
    <row r="20" spans="1:23" x14ac:dyDescent="0.25">
      <c r="A20" s="19"/>
      <c r="B20" s="20"/>
      <c r="C20" s="20" cm="1">
        <f t="array" aca="1" ref="C20" ca="1">_xlfn.XLOOKUP(A20,INDIRECT("Finanse.xlsx!Incomes_"&amp;$A$2&amp;"[Category]"),INDIRECT("Finanse.xlsx!Incomes_"&amp;$A$2&amp;"[Total]"),0,0,1)</f>
        <v>0</v>
      </c>
      <c r="D20" s="20">
        <f t="shared" ca="1" si="3"/>
        <v>0</v>
      </c>
      <c r="E20" s="3"/>
      <c r="F20" s="21" t="s">
        <v>42</v>
      </c>
      <c r="G20" s="22">
        <v>200</v>
      </c>
      <c r="H20" s="22" cm="1">
        <f t="array" aca="1" ref="H20" ca="1">-_xlfn.XLOOKUP(F20,INDIRECT("Finanse.xlsx!Expenses_"&amp;$A$2&amp;"[Category]"),INDIRECT("Finanse.xlsx!Expenses_"&amp;$A$2&amp;"[Total]"),0,0,1)</f>
        <v>100</v>
      </c>
      <c r="I20" s="22">
        <f t="shared" ca="1" si="4"/>
        <v>100</v>
      </c>
      <c r="J20" s="3"/>
      <c r="K20" s="23"/>
      <c r="L20" s="43"/>
      <c r="M20" s="24"/>
      <c r="N20" s="24"/>
      <c r="O20" s="3"/>
      <c r="P20" s="25"/>
      <c r="Q20" s="47"/>
      <c r="R20" s="26"/>
      <c r="S20" s="26"/>
      <c r="T20" s="3"/>
      <c r="U20" s="27"/>
      <c r="V20" s="28"/>
      <c r="W20" s="28"/>
    </row>
    <row r="21" spans="1:23" x14ac:dyDescent="0.25">
      <c r="A21" s="19"/>
      <c r="B21" s="20"/>
      <c r="C21" s="20" cm="1">
        <f t="array" aca="1" ref="C21" ca="1">_xlfn.XLOOKUP(A21,INDIRECT("Finanse.xlsx!Incomes_"&amp;$A$2&amp;"[Category]"),INDIRECT("Finanse.xlsx!Incomes_"&amp;$A$2&amp;"[Total]"),0,0,1)</f>
        <v>0</v>
      </c>
      <c r="D21" s="20">
        <f t="shared" ca="1" si="3"/>
        <v>0</v>
      </c>
      <c r="E21" s="3"/>
      <c r="F21" s="21" t="s">
        <v>43</v>
      </c>
      <c r="G21" s="22">
        <v>150</v>
      </c>
      <c r="H21" s="22" cm="1">
        <f t="array" aca="1" ref="H21" ca="1">-_xlfn.XLOOKUP(F21,INDIRECT("Finanse.xlsx!Expenses_"&amp;$A$2&amp;"[Category]"),INDIRECT("Finanse.xlsx!Expenses_"&amp;$A$2&amp;"[Total]"),0,0,1)</f>
        <v>80</v>
      </c>
      <c r="I21" s="22">
        <f t="shared" ca="1" si="4"/>
        <v>70</v>
      </c>
      <c r="J21" s="3"/>
      <c r="K21" s="23"/>
      <c r="L21" s="43"/>
      <c r="M21" s="24"/>
      <c r="N21" s="24"/>
      <c r="O21" s="3"/>
      <c r="P21" s="25"/>
      <c r="Q21" s="47"/>
      <c r="R21" s="26"/>
      <c r="S21" s="26"/>
      <c r="T21" s="3"/>
      <c r="U21" s="27"/>
      <c r="V21" s="28"/>
      <c r="W21" s="28"/>
    </row>
    <row r="22" spans="1:23" x14ac:dyDescent="0.25">
      <c r="A22" s="19"/>
      <c r="B22" s="20"/>
      <c r="C22" s="20" cm="1">
        <f t="array" aca="1" ref="C22" ca="1">_xlfn.XLOOKUP(A22,INDIRECT("Finanse.xlsx!Incomes_"&amp;$A$2&amp;"[Category]"),INDIRECT("Finanse.xlsx!Incomes_"&amp;$A$2&amp;"[Total]"),0,0,1)</f>
        <v>0</v>
      </c>
      <c r="D22" s="20">
        <f t="shared" ca="1" si="3"/>
        <v>0</v>
      </c>
      <c r="E22" s="3"/>
      <c r="F22" s="21"/>
      <c r="G22" s="22"/>
      <c r="H22" s="22"/>
      <c r="I22" s="22">
        <f t="shared" si="4"/>
        <v>0</v>
      </c>
      <c r="J22" s="3"/>
      <c r="K22" s="23"/>
      <c r="L22" s="43"/>
      <c r="M22" s="24"/>
      <c r="N22" s="24"/>
      <c r="O22" s="3"/>
      <c r="P22" s="25"/>
      <c r="Q22" s="47"/>
      <c r="R22" s="26"/>
      <c r="S22" s="26"/>
      <c r="T22" s="3"/>
      <c r="U22" s="27"/>
      <c r="V22" s="28"/>
      <c r="W22" s="28"/>
    </row>
    <row r="23" spans="1:23" ht="15.75" x14ac:dyDescent="0.25">
      <c r="A23" s="1" t="s">
        <v>29</v>
      </c>
      <c r="B23" s="2">
        <f>SUM(B13:B18)</f>
        <v>5700</v>
      </c>
      <c r="C23" s="2">
        <f ca="1">SUM(C12:C22)</f>
        <v>5655.5</v>
      </c>
      <c r="D23" s="2">
        <f ca="1">SUM(D12:D22)</f>
        <v>-44.5</v>
      </c>
      <c r="E23" s="3"/>
      <c r="F23" s="29" t="s">
        <v>29</v>
      </c>
      <c r="G23" s="29">
        <f>SUM(G12:G22)</f>
        <v>3795</v>
      </c>
      <c r="H23" s="29">
        <f ca="1">SUM(H12:H22)</f>
        <v>4710</v>
      </c>
      <c r="I23" s="29">
        <f ca="1">SUM(I13:I22)</f>
        <v>-915</v>
      </c>
      <c r="J23" s="3"/>
      <c r="K23" s="30" t="s">
        <v>29</v>
      </c>
      <c r="L23" s="44"/>
      <c r="M23" s="31">
        <f>SUM(M12:M22)</f>
        <v>2575</v>
      </c>
      <c r="N23" s="31">
        <f>SUM(N12:N22)</f>
        <v>0</v>
      </c>
      <c r="O23" s="3"/>
      <c r="P23" s="32" t="s">
        <v>29</v>
      </c>
      <c r="Q23" s="48"/>
      <c r="R23" s="33">
        <f>SUM(R12:R22)</f>
        <v>170.89</v>
      </c>
      <c r="S23" s="33">
        <f>SUM(S12:S22)</f>
        <v>0</v>
      </c>
      <c r="T23" s="3"/>
      <c r="U23" s="34" t="s">
        <v>29</v>
      </c>
      <c r="V23" s="35">
        <f>SUM(V12:V22)</f>
        <v>1300</v>
      </c>
      <c r="W23" s="35">
        <f>SUM(W12:W22)</f>
        <v>0</v>
      </c>
    </row>
  </sheetData>
  <mergeCells count="7">
    <mergeCell ref="P11:S11"/>
    <mergeCell ref="U11:W11"/>
    <mergeCell ref="A11:D11"/>
    <mergeCell ref="F11:I11"/>
    <mergeCell ref="A1:D1"/>
    <mergeCell ref="A2:D2"/>
    <mergeCell ref="K11:N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2025-12-12T13:43:29Z</dcterms:modified>
</cp:coreProperties>
</file>