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301-14\Downloads\"/>
    </mc:Choice>
  </mc:AlternateContent>
  <xr:revisionPtr revIDLastSave="0" documentId="13_ncr:1_{9CA099BE-A4ED-4CDC-BB59-EDAB8C147ECB}" xr6:coauthVersionLast="47" xr6:coauthVersionMax="47" xr10:uidLastSave="{00000000-0000-0000-0000-000000000000}"/>
  <bookViews>
    <workbookView xWindow="5340" yWindow="2685" windowWidth="21600" windowHeight="11385" activeTab="5" xr2:uid="{19EE711A-3283-4873-9107-9C9869A047C7}"/>
  </bookViews>
  <sheets>
    <sheet name="Dicionary" sheetId="3" r:id="rId1"/>
    <sheet name="Operations" sheetId="2" r:id="rId2"/>
    <sheet name="summary1" sheetId="18" r:id="rId3"/>
    <sheet name="summary2" sheetId="17" r:id="rId4"/>
    <sheet name="summary3" sheetId="20" r:id="rId5"/>
    <sheet name="1" sheetId="5" r:id="rId6"/>
    <sheet name="2" sheetId="6" r:id="rId7"/>
    <sheet name="3" sheetId="7" r:id="rId8"/>
    <sheet name="4" sheetId="8" r:id="rId9"/>
    <sheet name="5" sheetId="9" r:id="rId10"/>
    <sheet name="6" sheetId="10" r:id="rId11"/>
    <sheet name="7" sheetId="11" r:id="rId12"/>
    <sheet name="8" sheetId="12" r:id="rId13"/>
    <sheet name="9" sheetId="13" r:id="rId14"/>
    <sheet name="10" sheetId="14" r:id="rId15"/>
    <sheet name="11" sheetId="15" r:id="rId16"/>
    <sheet name="12" sheetId="16" r:id="rId17"/>
  </sheets>
  <definedNames>
    <definedName name="_xlnm._FilterDatabase" localSheetId="0" hidden="1">Dicionary!$A$1:$B$17</definedName>
  </definedNames>
  <calcPr calcId="191029"/>
  <pivotCaches>
    <pivotCache cacheId="6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6" l="1"/>
  <c r="B11" i="15"/>
  <c r="B11" i="14"/>
  <c r="B11" i="13"/>
  <c r="B11" i="12"/>
  <c r="B11" i="11"/>
  <c r="B11" i="10"/>
  <c r="B11" i="9"/>
  <c r="B11" i="8"/>
  <c r="B11" i="7"/>
  <c r="B11" i="5"/>
  <c r="B11" i="6" a="1"/>
  <c r="B11" i="6" s="1"/>
  <c r="C9" i="5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K12" i="17" s="1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J16" i="18" s="1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M12" i="17" l="1"/>
  <c r="G15" i="18"/>
  <c r="E17" i="18"/>
  <c r="I4" i="18"/>
  <c r="M11" i="18"/>
  <c r="E9" i="17"/>
  <c r="H7" i="17"/>
  <c r="H15" i="18"/>
  <c r="L11" i="18"/>
  <c r="F4" i="18"/>
  <c r="H6" i="18"/>
  <c r="F2" i="18"/>
  <c r="L3" i="17"/>
  <c r="K13" i="18"/>
  <c r="I11" i="18"/>
  <c r="D15" i="18"/>
  <c r="F19" i="17"/>
  <c r="F20" i="17" s="1"/>
  <c r="H13" i="17"/>
  <c r="H11" i="18"/>
  <c r="L10" i="17"/>
  <c r="J11" i="18"/>
  <c r="D9" i="17"/>
  <c r="C7" i="17"/>
  <c r="N12" i="17"/>
  <c r="K2" i="18"/>
  <c r="M3" i="17"/>
  <c r="F13" i="18"/>
  <c r="L2" i="17"/>
  <c r="I14" i="18"/>
  <c r="K11" i="18"/>
  <c r="C19" i="17"/>
  <c r="C20" i="17" s="1"/>
  <c r="D2" i="18"/>
  <c r="N14" i="17"/>
  <c r="F8" i="18"/>
  <c r="G11" i="18"/>
  <c r="J3" i="17"/>
  <c r="L3" i="18"/>
  <c r="N10" i="17"/>
  <c r="F4" i="17"/>
  <c r="F15" i="17"/>
  <c r="F11" i="18"/>
  <c r="I7" i="17"/>
  <c r="J13" i="17"/>
  <c r="J13" i="18"/>
  <c r="F9" i="17"/>
  <c r="E11" i="18"/>
  <c r="H4" i="18"/>
  <c r="L14" i="18"/>
  <c r="J19" i="17"/>
  <c r="J20" i="17" s="1"/>
  <c r="J7" i="17"/>
  <c r="D11" i="18"/>
  <c r="F7" i="17"/>
  <c r="D4" i="18"/>
  <c r="M16" i="17"/>
  <c r="G13" i="18"/>
  <c r="I13" i="17"/>
  <c r="C14" i="18"/>
  <c r="N9" i="18"/>
  <c r="E7" i="17"/>
  <c r="H2" i="18"/>
  <c r="C10" i="18"/>
  <c r="F16" i="17"/>
  <c r="C16" i="17"/>
  <c r="G7" i="17"/>
  <c r="N2" i="17"/>
  <c r="C13" i="18"/>
  <c r="M7" i="18"/>
  <c r="E4" i="17"/>
  <c r="M14" i="17"/>
  <c r="L16" i="17"/>
  <c r="C4" i="18"/>
  <c r="N16" i="17"/>
  <c r="C11" i="18"/>
  <c r="L7" i="18"/>
  <c r="N3" i="17"/>
  <c r="J2" i="18"/>
  <c r="I13" i="18"/>
  <c r="F10" i="17"/>
  <c r="M10" i="17"/>
  <c r="C8" i="18"/>
  <c r="E15" i="17"/>
  <c r="N5" i="17"/>
  <c r="F17" i="18"/>
  <c r="G6" i="18"/>
  <c r="I19" i="17"/>
  <c r="I20" i="17" s="1"/>
  <c r="L5" i="17"/>
  <c r="D4" i="17"/>
  <c r="H19" i="17"/>
  <c r="H20" i="17" s="1"/>
  <c r="C12" i="18"/>
  <c r="D17" i="18"/>
  <c r="F15" i="18"/>
  <c r="H13" i="18"/>
  <c r="L9" i="18"/>
  <c r="N7" i="18"/>
  <c r="E6" i="18"/>
  <c r="G4" i="18"/>
  <c r="I2" i="18"/>
  <c r="K16" i="17"/>
  <c r="C15" i="17"/>
  <c r="G13" i="17"/>
  <c r="K10" i="17"/>
  <c r="C9" i="17"/>
  <c r="K5" i="17"/>
  <c r="C4" i="17"/>
  <c r="G19" i="17"/>
  <c r="G20" i="17" s="1"/>
  <c r="J16" i="17"/>
  <c r="E4" i="18"/>
  <c r="H16" i="17"/>
  <c r="K16" i="18"/>
  <c r="K8" i="17"/>
  <c r="J14" i="17"/>
  <c r="C2" i="17"/>
  <c r="C5" i="18"/>
  <c r="H16" i="18"/>
  <c r="J14" i="18"/>
  <c r="L12" i="18"/>
  <c r="N10" i="18"/>
  <c r="E9" i="18"/>
  <c r="G7" i="18"/>
  <c r="I5" i="18"/>
  <c r="K3" i="18"/>
  <c r="M2" i="17"/>
  <c r="D16" i="17"/>
  <c r="H14" i="17"/>
  <c r="L12" i="17"/>
  <c r="D10" i="17"/>
  <c r="H8" i="17"/>
  <c r="L6" i="17"/>
  <c r="D5" i="17"/>
  <c r="H3" i="17"/>
  <c r="L17" i="17"/>
  <c r="M9" i="18"/>
  <c r="D15" i="17"/>
  <c r="N8" i="17"/>
  <c r="N5" i="18"/>
  <c r="E13" i="17"/>
  <c r="K7" i="18"/>
  <c r="D7" i="17"/>
  <c r="G16" i="17"/>
  <c r="N12" i="18"/>
  <c r="K5" i="18"/>
  <c r="N6" i="17"/>
  <c r="C6" i="18"/>
  <c r="E16" i="17"/>
  <c r="G8" i="17"/>
  <c r="C3" i="18"/>
  <c r="F16" i="18"/>
  <c r="H14" i="18"/>
  <c r="J12" i="18"/>
  <c r="L10" i="18"/>
  <c r="N8" i="18"/>
  <c r="E7" i="18"/>
  <c r="G5" i="18"/>
  <c r="I3" i="18"/>
  <c r="K2" i="17"/>
  <c r="N15" i="17"/>
  <c r="F14" i="17"/>
  <c r="J12" i="17"/>
  <c r="N9" i="17"/>
  <c r="F8" i="17"/>
  <c r="J6" i="17"/>
  <c r="N4" i="17"/>
  <c r="F3" i="17"/>
  <c r="J17" i="17"/>
  <c r="D8" i="18"/>
  <c r="K9" i="18"/>
  <c r="M8" i="17"/>
  <c r="C13" i="17"/>
  <c r="I7" i="18"/>
  <c r="E10" i="17"/>
  <c r="D3" i="5"/>
  <c r="E3" i="5" s="1"/>
  <c r="N17" i="18"/>
  <c r="E16" i="18"/>
  <c r="G14" i="18"/>
  <c r="I12" i="18"/>
  <c r="K10" i="18"/>
  <c r="M8" i="18"/>
  <c r="D7" i="18"/>
  <c r="F5" i="18"/>
  <c r="H3" i="18"/>
  <c r="J2" i="17"/>
  <c r="M15" i="17"/>
  <c r="E14" i="17"/>
  <c r="I12" i="17"/>
  <c r="M9" i="17"/>
  <c r="E8" i="17"/>
  <c r="I6" i="17"/>
  <c r="M4" i="17"/>
  <c r="E3" i="17"/>
  <c r="I17" i="17"/>
  <c r="E8" i="18"/>
  <c r="I16" i="17"/>
  <c r="L14" i="17"/>
  <c r="N3" i="18"/>
  <c r="I14" i="17"/>
  <c r="M10" i="18"/>
  <c r="C5" i="17"/>
  <c r="M17" i="18"/>
  <c r="D16" i="18"/>
  <c r="F14" i="18"/>
  <c r="H12" i="18"/>
  <c r="J10" i="18"/>
  <c r="L8" i="18"/>
  <c r="N6" i="18"/>
  <c r="E5" i="18"/>
  <c r="G3" i="18"/>
  <c r="I2" i="17"/>
  <c r="L15" i="17"/>
  <c r="D14" i="17"/>
  <c r="H12" i="17"/>
  <c r="L9" i="17"/>
  <c r="D8" i="17"/>
  <c r="H6" i="17"/>
  <c r="L4" i="17"/>
  <c r="D3" i="17"/>
  <c r="H17" i="17"/>
  <c r="J10" i="17"/>
  <c r="I10" i="17"/>
  <c r="N14" i="18"/>
  <c r="D13" i="17"/>
  <c r="G10" i="17"/>
  <c r="K12" i="18"/>
  <c r="K6" i="17"/>
  <c r="L17" i="18"/>
  <c r="N15" i="18"/>
  <c r="E14" i="18"/>
  <c r="G12" i="18"/>
  <c r="I10" i="18"/>
  <c r="K8" i="18"/>
  <c r="M6" i="18"/>
  <c r="D5" i="18"/>
  <c r="F3" i="18"/>
  <c r="H2" i="17"/>
  <c r="K15" i="17"/>
  <c r="C14" i="17"/>
  <c r="G12" i="17"/>
  <c r="K9" i="17"/>
  <c r="C8" i="17"/>
  <c r="G6" i="17"/>
  <c r="K4" i="17"/>
  <c r="C3" i="17"/>
  <c r="G17" i="17"/>
  <c r="F6" i="18"/>
  <c r="F13" i="17"/>
  <c r="H10" i="17"/>
  <c r="K14" i="17"/>
  <c r="J8" i="17"/>
  <c r="I8" i="17"/>
  <c r="G14" i="17"/>
  <c r="K17" i="18"/>
  <c r="M15" i="18"/>
  <c r="D14" i="18"/>
  <c r="F12" i="18"/>
  <c r="H10" i="18"/>
  <c r="J8" i="18"/>
  <c r="L6" i="18"/>
  <c r="N4" i="18"/>
  <c r="E3" i="18"/>
  <c r="G2" i="17"/>
  <c r="J15" i="17"/>
  <c r="N13" i="17"/>
  <c r="F12" i="17"/>
  <c r="J9" i="17"/>
  <c r="N7" i="17"/>
  <c r="F6" i="17"/>
  <c r="J4" i="17"/>
  <c r="N19" i="17"/>
  <c r="N20" i="17" s="1"/>
  <c r="F17" i="17"/>
  <c r="M5" i="17"/>
  <c r="G2" i="18"/>
  <c r="I5" i="17"/>
  <c r="L16" i="18"/>
  <c r="I9" i="18"/>
  <c r="D19" i="17"/>
  <c r="D20" i="17" s="1"/>
  <c r="M14" i="18"/>
  <c r="E2" i="18"/>
  <c r="G5" i="17"/>
  <c r="C7" i="18"/>
  <c r="F5" i="17"/>
  <c r="M12" i="18"/>
  <c r="M17" i="17"/>
  <c r="C2" i="18"/>
  <c r="J17" i="18"/>
  <c r="L15" i="18"/>
  <c r="N13" i="18"/>
  <c r="E12" i="18"/>
  <c r="G10" i="18"/>
  <c r="I8" i="18"/>
  <c r="K6" i="18"/>
  <c r="M4" i="18"/>
  <c r="D3" i="18"/>
  <c r="F2" i="17"/>
  <c r="I15" i="17"/>
  <c r="M13" i="17"/>
  <c r="E12" i="17"/>
  <c r="I9" i="17"/>
  <c r="M7" i="17"/>
  <c r="E6" i="17"/>
  <c r="I4" i="17"/>
  <c r="M19" i="17"/>
  <c r="M20" i="17" s="1"/>
  <c r="E17" i="17"/>
  <c r="E15" i="18"/>
  <c r="D6" i="18"/>
  <c r="E19" i="17"/>
  <c r="E20" i="17" s="1"/>
  <c r="E13" i="18"/>
  <c r="M5" i="18"/>
  <c r="L8" i="17"/>
  <c r="J7" i="18"/>
  <c r="K3" i="17"/>
  <c r="N17" i="17"/>
  <c r="K14" i="18"/>
  <c r="F9" i="18"/>
  <c r="J5" i="18"/>
  <c r="I3" i="17"/>
  <c r="F7" i="18"/>
  <c r="K17" i="17"/>
  <c r="C17" i="18"/>
  <c r="I17" i="18"/>
  <c r="K15" i="18"/>
  <c r="M13" i="18"/>
  <c r="D12" i="18"/>
  <c r="F10" i="18"/>
  <c r="H8" i="18"/>
  <c r="J6" i="18"/>
  <c r="L4" i="18"/>
  <c r="N2" i="18"/>
  <c r="E2" i="17"/>
  <c r="H15" i="17"/>
  <c r="L13" i="17"/>
  <c r="D12" i="17"/>
  <c r="H9" i="17"/>
  <c r="L7" i="17"/>
  <c r="D6" i="17"/>
  <c r="H4" i="17"/>
  <c r="L19" i="17"/>
  <c r="L20" i="17" s="1"/>
  <c r="D17" i="17"/>
  <c r="M16" i="18"/>
  <c r="J9" i="18"/>
  <c r="C9" i="18"/>
  <c r="H5" i="17"/>
  <c r="H9" i="18"/>
  <c r="M3" i="18"/>
  <c r="I16" i="18"/>
  <c r="H7" i="18"/>
  <c r="M6" i="17"/>
  <c r="G16" i="18"/>
  <c r="H5" i="18"/>
  <c r="J3" i="18"/>
  <c r="G3" i="17"/>
  <c r="C16" i="18"/>
  <c r="H17" i="18"/>
  <c r="J15" i="18"/>
  <c r="L13" i="18"/>
  <c r="N11" i="18"/>
  <c r="E10" i="18"/>
  <c r="G8" i="18"/>
  <c r="I6" i="18"/>
  <c r="K4" i="18"/>
  <c r="M2" i="18"/>
  <c r="D2" i="17"/>
  <c r="G15" i="17"/>
  <c r="K13" i="17"/>
  <c r="C12" i="17"/>
  <c r="G9" i="17"/>
  <c r="K7" i="17"/>
  <c r="C6" i="17"/>
  <c r="G4" i="17"/>
  <c r="K19" i="17"/>
  <c r="K20" i="17" s="1"/>
  <c r="C17" i="17"/>
  <c r="N16" i="18"/>
  <c r="J5" i="17"/>
  <c r="D13" i="18"/>
  <c r="L5" i="18"/>
  <c r="G9" i="18"/>
  <c r="E5" i="17"/>
  <c r="D9" i="18"/>
  <c r="C10" i="17"/>
  <c r="C15" i="18"/>
  <c r="G17" i="18"/>
  <c r="I15" i="18"/>
  <c r="D10" i="18"/>
  <c r="J4" i="18"/>
  <c r="L2" i="18"/>
  <c r="K9" i="16"/>
  <c r="K8" i="16"/>
  <c r="K6" i="16"/>
  <c r="K4" i="16"/>
  <c r="K2" i="16"/>
  <c r="B16" i="16"/>
  <c r="D7" i="16"/>
  <c r="H6" i="16"/>
  <c r="D5" i="16"/>
  <c r="H4" i="16"/>
  <c r="D3" i="16"/>
  <c r="H2" i="16"/>
  <c r="B15" i="16"/>
  <c r="K7" i="16"/>
  <c r="K5" i="16"/>
  <c r="K3" i="16"/>
  <c r="B14" i="16"/>
  <c r="K10" i="16"/>
  <c r="D8" i="16"/>
  <c r="H7" i="16"/>
  <c r="D6" i="16"/>
  <c r="H5" i="16"/>
  <c r="D4" i="16"/>
  <c r="H3" i="16"/>
  <c r="D2" i="16"/>
  <c r="K9" i="15"/>
  <c r="K8" i="15"/>
  <c r="K6" i="15"/>
  <c r="K4" i="15"/>
  <c r="K2" i="15"/>
  <c r="K10" i="15"/>
  <c r="H7" i="15"/>
  <c r="D6" i="15"/>
  <c r="H5" i="15"/>
  <c r="D4" i="15"/>
  <c r="B16" i="15"/>
  <c r="D7" i="15"/>
  <c r="H6" i="15"/>
  <c r="D5" i="15"/>
  <c r="H4" i="15"/>
  <c r="D3" i="15"/>
  <c r="H2" i="15"/>
  <c r="B15" i="15"/>
  <c r="K7" i="15"/>
  <c r="K5" i="15"/>
  <c r="K3" i="15"/>
  <c r="B14" i="15"/>
  <c r="D8" i="15"/>
  <c r="H3" i="15"/>
  <c r="D2" i="15"/>
  <c r="B16" i="14"/>
  <c r="D7" i="14"/>
  <c r="H6" i="14"/>
  <c r="D5" i="14"/>
  <c r="H4" i="14"/>
  <c r="D3" i="14"/>
  <c r="H2" i="14"/>
  <c r="K7" i="14"/>
  <c r="K5" i="14"/>
  <c r="K3" i="14"/>
  <c r="B15" i="14"/>
  <c r="B14" i="14"/>
  <c r="K10" i="14"/>
  <c r="D8" i="14"/>
  <c r="H7" i="14"/>
  <c r="D6" i="14"/>
  <c r="H5" i="14"/>
  <c r="D4" i="14"/>
  <c r="H3" i="14"/>
  <c r="D2" i="14"/>
  <c r="K9" i="14"/>
  <c r="K8" i="14"/>
  <c r="K6" i="14"/>
  <c r="K4" i="14"/>
  <c r="K2" i="14"/>
  <c r="K9" i="13"/>
  <c r="K8" i="13"/>
  <c r="K6" i="13"/>
  <c r="K4" i="13"/>
  <c r="K2" i="13"/>
  <c r="B16" i="13"/>
  <c r="D7" i="13"/>
  <c r="H6" i="13"/>
  <c r="D5" i="13"/>
  <c r="H4" i="13"/>
  <c r="D3" i="13"/>
  <c r="H2" i="13"/>
  <c r="B15" i="13"/>
  <c r="K7" i="13"/>
  <c r="K5" i="13"/>
  <c r="K3" i="13"/>
  <c r="B14" i="13"/>
  <c r="K10" i="13"/>
  <c r="D8" i="13"/>
  <c r="H7" i="13"/>
  <c r="D6" i="13"/>
  <c r="H5" i="13"/>
  <c r="D4" i="13"/>
  <c r="H3" i="13"/>
  <c r="D2" i="13"/>
  <c r="K9" i="12"/>
  <c r="K8" i="12"/>
  <c r="K6" i="12"/>
  <c r="K4" i="12"/>
  <c r="K2" i="12"/>
  <c r="B16" i="12"/>
  <c r="D7" i="12"/>
  <c r="H6" i="12"/>
  <c r="D5" i="12"/>
  <c r="H4" i="12"/>
  <c r="D3" i="12"/>
  <c r="H2" i="12"/>
  <c r="B15" i="12"/>
  <c r="K7" i="12"/>
  <c r="K5" i="12"/>
  <c r="K3" i="12"/>
  <c r="B14" i="12"/>
  <c r="K10" i="12"/>
  <c r="D8" i="12"/>
  <c r="H7" i="12"/>
  <c r="D6" i="12"/>
  <c r="H5" i="12"/>
  <c r="D4" i="12"/>
  <c r="H3" i="12"/>
  <c r="D2" i="12"/>
  <c r="B16" i="11"/>
  <c r="D7" i="11"/>
  <c r="K4" i="11"/>
  <c r="H2" i="11"/>
  <c r="K8" i="11"/>
  <c r="K2" i="11"/>
  <c r="K6" i="11"/>
  <c r="H4" i="11"/>
  <c r="D5" i="11"/>
  <c r="K9" i="11"/>
  <c r="H6" i="11"/>
  <c r="D3" i="11"/>
  <c r="D2" i="11"/>
  <c r="H3" i="11"/>
  <c r="D4" i="11"/>
  <c r="H5" i="11"/>
  <c r="D6" i="11"/>
  <c r="H7" i="11"/>
  <c r="D8" i="11"/>
  <c r="K10" i="11"/>
  <c r="B14" i="11"/>
  <c r="K3" i="11"/>
  <c r="K5" i="11"/>
  <c r="K7" i="11"/>
  <c r="B15" i="11"/>
  <c r="K9" i="10"/>
  <c r="K8" i="10"/>
  <c r="K6" i="10"/>
  <c r="K4" i="10"/>
  <c r="K2" i="10"/>
  <c r="B14" i="10"/>
  <c r="D8" i="10"/>
  <c r="H7" i="10"/>
  <c r="D6" i="10"/>
  <c r="H3" i="10"/>
  <c r="D2" i="10"/>
  <c r="B16" i="10"/>
  <c r="D7" i="10"/>
  <c r="H6" i="10"/>
  <c r="D5" i="10"/>
  <c r="H4" i="10"/>
  <c r="D3" i="10"/>
  <c r="H2" i="10"/>
  <c r="K10" i="10"/>
  <c r="H5" i="10"/>
  <c r="D4" i="10"/>
  <c r="B15" i="10"/>
  <c r="K7" i="10"/>
  <c r="K5" i="10"/>
  <c r="K3" i="10"/>
  <c r="K9" i="9"/>
  <c r="K8" i="9"/>
  <c r="K6" i="9"/>
  <c r="K4" i="9"/>
  <c r="K2" i="9"/>
  <c r="B16" i="9"/>
  <c r="D7" i="9"/>
  <c r="H6" i="9"/>
  <c r="D5" i="9"/>
  <c r="H4" i="9"/>
  <c r="D3" i="9"/>
  <c r="H2" i="9"/>
  <c r="B15" i="9"/>
  <c r="K7" i="9"/>
  <c r="K5" i="9"/>
  <c r="K3" i="9"/>
  <c r="B14" i="9"/>
  <c r="K10" i="9"/>
  <c r="D8" i="9"/>
  <c r="H7" i="9"/>
  <c r="D6" i="9"/>
  <c r="H5" i="9"/>
  <c r="D4" i="9"/>
  <c r="H3" i="9"/>
  <c r="D2" i="9"/>
  <c r="K9" i="8"/>
  <c r="K8" i="8"/>
  <c r="K6" i="8"/>
  <c r="K4" i="8"/>
  <c r="K2" i="8"/>
  <c r="B16" i="8"/>
  <c r="D7" i="8"/>
  <c r="H6" i="8"/>
  <c r="D5" i="8"/>
  <c r="H4" i="8"/>
  <c r="D3" i="8"/>
  <c r="H2" i="8"/>
  <c r="K10" i="8"/>
  <c r="D8" i="8"/>
  <c r="H7" i="8"/>
  <c r="H5" i="8"/>
  <c r="H3" i="8"/>
  <c r="D2" i="8"/>
  <c r="B15" i="8"/>
  <c r="K7" i="8"/>
  <c r="K5" i="8"/>
  <c r="K3" i="8"/>
  <c r="B14" i="8"/>
  <c r="D6" i="8"/>
  <c r="D4" i="8"/>
  <c r="K9" i="7"/>
  <c r="K8" i="7"/>
  <c r="K6" i="7"/>
  <c r="K4" i="7"/>
  <c r="K2" i="7"/>
  <c r="B16" i="7"/>
  <c r="D7" i="7"/>
  <c r="H6" i="7"/>
  <c r="D5" i="7"/>
  <c r="H4" i="7"/>
  <c r="D3" i="7"/>
  <c r="H2" i="7"/>
  <c r="K7" i="7"/>
  <c r="K5" i="7"/>
  <c r="K3" i="7"/>
  <c r="B14" i="7"/>
  <c r="K10" i="7"/>
  <c r="D8" i="7"/>
  <c r="H7" i="7"/>
  <c r="D6" i="7"/>
  <c r="H5" i="7"/>
  <c r="D4" i="7"/>
  <c r="H3" i="7"/>
  <c r="D2" i="7"/>
  <c r="B15" i="7"/>
  <c r="K9" i="6"/>
  <c r="K8" i="6"/>
  <c r="K7" i="6"/>
  <c r="K6" i="6"/>
  <c r="K5" i="6"/>
  <c r="K4" i="6"/>
  <c r="K3" i="6"/>
  <c r="K2" i="6"/>
  <c r="B16" i="6"/>
  <c r="H7" i="6"/>
  <c r="H6" i="6"/>
  <c r="H5" i="6"/>
  <c r="H4" i="6"/>
  <c r="H3" i="6"/>
  <c r="H2" i="6"/>
  <c r="B15" i="6"/>
  <c r="B14" i="6"/>
  <c r="K10" i="6"/>
  <c r="D8" i="6"/>
  <c r="D7" i="6"/>
  <c r="D6" i="6"/>
  <c r="D5" i="6"/>
  <c r="D4" i="6"/>
  <c r="D3" i="6"/>
  <c r="D2" i="6"/>
  <c r="B16" i="5"/>
  <c r="B15" i="5"/>
  <c r="B14" i="5"/>
  <c r="K7" i="5"/>
  <c r="K3" i="5"/>
  <c r="K9" i="5"/>
  <c r="K5" i="5"/>
  <c r="K8" i="5"/>
  <c r="K4" i="5"/>
  <c r="K10" i="5"/>
  <c r="K6" i="5"/>
  <c r="K2" i="5"/>
  <c r="H2" i="5"/>
  <c r="H5" i="5"/>
  <c r="H4" i="5"/>
  <c r="H7" i="5"/>
  <c r="H3" i="5"/>
  <c r="H6" i="5"/>
  <c r="D6" i="5"/>
  <c r="E6" i="5" s="1"/>
  <c r="D5" i="5"/>
  <c r="E5" i="5" s="1"/>
  <c r="D2" i="5"/>
  <c r="E2" i="5" s="1"/>
  <c r="D8" i="5"/>
  <c r="E8" i="5" s="1"/>
  <c r="D4" i="5"/>
  <c r="E4" i="5" s="1"/>
  <c r="D7" i="5"/>
  <c r="E7" i="5" s="1"/>
  <c r="C3" i="6"/>
  <c r="C5" i="6"/>
  <c r="C2" i="6"/>
  <c r="C4" i="6"/>
  <c r="C7" i="6"/>
  <c r="C6" i="6"/>
  <c r="C8" i="6"/>
  <c r="M11" i="17" l="1"/>
  <c r="O10" i="18"/>
  <c r="O12" i="18"/>
  <c r="N18" i="17"/>
  <c r="C11" i="17"/>
  <c r="H11" i="17"/>
  <c r="D11" i="17"/>
  <c r="E11" i="17"/>
  <c r="I11" i="17"/>
  <c r="O14" i="17"/>
  <c r="O3" i="17"/>
  <c r="O16" i="17"/>
  <c r="L18" i="18"/>
  <c r="O12" i="17"/>
  <c r="K18" i="17"/>
  <c r="C18" i="18"/>
  <c r="F18" i="17"/>
  <c r="M18" i="17"/>
  <c r="M21" i="17" s="1"/>
  <c r="M22" i="17" s="1"/>
  <c r="N11" i="17"/>
  <c r="O9" i="17"/>
  <c r="O4" i="17"/>
  <c r="O5" i="17"/>
  <c r="G11" i="17"/>
  <c r="O16" i="18"/>
  <c r="O15" i="17"/>
  <c r="O15" i="18"/>
  <c r="O8" i="17"/>
  <c r="O10" i="17"/>
  <c r="J18" i="17"/>
  <c r="O7" i="17"/>
  <c r="O17" i="18"/>
  <c r="G18" i="17"/>
  <c r="G21" i="17" s="1"/>
  <c r="G22" i="17" s="1"/>
  <c r="H18" i="17"/>
  <c r="E18" i="17"/>
  <c r="O4" i="18"/>
  <c r="J11" i="17"/>
  <c r="O11" i="18"/>
  <c r="L11" i="17"/>
  <c r="O6" i="17"/>
  <c r="O13" i="18"/>
  <c r="O2" i="17"/>
  <c r="O14" i="18"/>
  <c r="D18" i="17"/>
  <c r="K11" i="17"/>
  <c r="O17" i="17"/>
  <c r="L18" i="17"/>
  <c r="O13" i="17"/>
  <c r="I18" i="17"/>
  <c r="O19" i="17"/>
  <c r="O20" i="17" s="1"/>
  <c r="J18" i="18"/>
  <c r="H18" i="18"/>
  <c r="N18" i="18"/>
  <c r="O6" i="18"/>
  <c r="O7" i="18"/>
  <c r="O2" i="18"/>
  <c r="I18" i="18"/>
  <c r="F11" i="17"/>
  <c r="F21" i="17" s="1"/>
  <c r="F22" i="17" s="1"/>
  <c r="K18" i="18"/>
  <c r="D18" i="18"/>
  <c r="O8" i="18"/>
  <c r="C18" i="17"/>
  <c r="M18" i="18"/>
  <c r="E18" i="18"/>
  <c r="G18" i="18"/>
  <c r="O3" i="18"/>
  <c r="F18" i="18"/>
  <c r="O5" i="18"/>
  <c r="O9" i="18"/>
  <c r="B17" i="16"/>
  <c r="D9" i="16"/>
  <c r="H8" i="16"/>
  <c r="K11" i="16"/>
  <c r="B17" i="15"/>
  <c r="B17" i="14"/>
  <c r="D9" i="15"/>
  <c r="H8" i="15"/>
  <c r="K11" i="15"/>
  <c r="B17" i="13"/>
  <c r="K11" i="14"/>
  <c r="D9" i="14"/>
  <c r="H8" i="14"/>
  <c r="B17" i="12"/>
  <c r="D9" i="13"/>
  <c r="H8" i="13"/>
  <c r="K11" i="13"/>
  <c r="D9" i="12"/>
  <c r="H8" i="12"/>
  <c r="K11" i="12"/>
  <c r="B17" i="9"/>
  <c r="K11" i="11"/>
  <c r="H8" i="11"/>
  <c r="D9" i="11"/>
  <c r="B17" i="11"/>
  <c r="D9" i="10"/>
  <c r="B17" i="8"/>
  <c r="H8" i="10"/>
  <c r="B17" i="10"/>
  <c r="K11" i="10"/>
  <c r="D9" i="9"/>
  <c r="H8" i="9"/>
  <c r="K11" i="9"/>
  <c r="D9" i="8"/>
  <c r="H8" i="8"/>
  <c r="K11" i="8"/>
  <c r="B17" i="7"/>
  <c r="D9" i="7"/>
  <c r="H8" i="7"/>
  <c r="K11" i="7"/>
  <c r="E4" i="6"/>
  <c r="E5" i="6"/>
  <c r="E2" i="6"/>
  <c r="E8" i="6"/>
  <c r="E3" i="6"/>
  <c r="E6" i="6"/>
  <c r="E7" i="6"/>
  <c r="H8" i="6"/>
  <c r="K11" i="6"/>
  <c r="D9" i="6"/>
  <c r="B17" i="6"/>
  <c r="K11" i="5"/>
  <c r="B17" i="5"/>
  <c r="H8" i="5"/>
  <c r="E9" i="5"/>
  <c r="D9" i="5"/>
  <c r="C4" i="7"/>
  <c r="C6" i="7"/>
  <c r="C2" i="7"/>
  <c r="C8" i="7"/>
  <c r="C3" i="7"/>
  <c r="C5" i="7"/>
  <c r="C7" i="7"/>
  <c r="D21" i="17" l="1"/>
  <c r="D22" i="17" s="1"/>
  <c r="L21" i="17"/>
  <c r="E21" i="17"/>
  <c r="E22" i="17" s="1"/>
  <c r="H21" i="17"/>
  <c r="H22" i="17" s="1"/>
  <c r="C21" i="17"/>
  <c r="O11" i="17"/>
  <c r="N21" i="17"/>
  <c r="N22" i="17" s="1"/>
  <c r="I21" i="17"/>
  <c r="I22" i="17" s="1"/>
  <c r="O18" i="17"/>
  <c r="L22" i="17"/>
  <c r="K21" i="17"/>
  <c r="K22" i="17" s="1"/>
  <c r="J21" i="17"/>
  <c r="J22" i="17" s="1"/>
  <c r="O18" i="18"/>
  <c r="C22" i="17"/>
  <c r="E8" i="7"/>
  <c r="E7" i="7"/>
  <c r="E2" i="7"/>
  <c r="E5" i="7"/>
  <c r="E6" i="7"/>
  <c r="E3" i="7"/>
  <c r="E4" i="7"/>
  <c r="C9" i="6"/>
  <c r="E9" i="6"/>
  <c r="C8" i="8"/>
  <c r="C6" i="8"/>
  <c r="C2" i="8"/>
  <c r="C4" i="8"/>
  <c r="C3" i="8"/>
  <c r="C5" i="8"/>
  <c r="C7" i="8"/>
  <c r="E4" i="8" l="1"/>
  <c r="E6" i="8"/>
  <c r="E7" i="8"/>
  <c r="E3" i="8"/>
  <c r="C9" i="8"/>
  <c r="E2" i="8"/>
  <c r="E8" i="8"/>
  <c r="E5" i="8"/>
  <c r="O21" i="17"/>
  <c r="O22" i="17" s="1"/>
  <c r="E9" i="7"/>
  <c r="C9" i="7"/>
  <c r="C7" i="9"/>
  <c r="C6" i="9"/>
  <c r="C2" i="9"/>
  <c r="C4" i="9"/>
  <c r="C3" i="9"/>
  <c r="C8" i="9"/>
  <c r="C5" i="9"/>
  <c r="E8" i="9" l="1"/>
  <c r="E6" i="9"/>
  <c r="E5" i="9"/>
  <c r="E2" i="9"/>
  <c r="C9" i="9"/>
  <c r="E3" i="9"/>
  <c r="E7" i="9"/>
  <c r="E4" i="9"/>
  <c r="E9" i="8"/>
  <c r="C3" i="10" a="1"/>
  <c r="C7" i="10" a="1"/>
  <c r="C4" i="10" a="1"/>
  <c r="C8" i="10" a="1"/>
  <c r="C6" i="10" a="1"/>
  <c r="C5" i="10" a="1"/>
  <c r="C2" i="10" a="1"/>
  <c r="C4" i="10" l="1"/>
  <c r="E4" i="10" s="1"/>
  <c r="C7" i="10"/>
  <c r="E7" i="10" s="1"/>
  <c r="C6" i="10"/>
  <c r="E6" i="10" s="1"/>
  <c r="C3" i="10"/>
  <c r="E3" i="10" s="1"/>
  <c r="C2" i="10"/>
  <c r="C5" i="10"/>
  <c r="E5" i="10" s="1"/>
  <c r="C8" i="10"/>
  <c r="E8" i="10" s="1"/>
  <c r="E9" i="9"/>
  <c r="C4" i="11" a="1"/>
  <c r="C8" i="11" a="1"/>
  <c r="C7" i="11" a="1"/>
  <c r="C5" i="11" a="1"/>
  <c r="C6" i="11" a="1"/>
  <c r="C3" i="11" a="1"/>
  <c r="C5" i="11" l="1"/>
  <c r="E5" i="11" s="1"/>
  <c r="C8" i="11"/>
  <c r="E8" i="11" s="1"/>
  <c r="C3" i="11"/>
  <c r="E3" i="11" s="1"/>
  <c r="C6" i="11"/>
  <c r="E6" i="11" s="1"/>
  <c r="C7" i="11"/>
  <c r="E7" i="11" s="1"/>
  <c r="C4" i="11"/>
  <c r="E4" i="11" s="1"/>
  <c r="E2" i="10"/>
  <c r="C9" i="10"/>
  <c r="C5" i="12"/>
  <c r="C6" i="12"/>
  <c r="C2" i="11" a="1"/>
  <c r="C8" i="12"/>
  <c r="C4" i="12"/>
  <c r="C3" i="12"/>
  <c r="C7" i="12"/>
  <c r="E4" i="12" l="1"/>
  <c r="E6" i="12"/>
  <c r="E7" i="12"/>
  <c r="E3" i="12"/>
  <c r="E8" i="12"/>
  <c r="E5" i="12"/>
  <c r="C2" i="11"/>
  <c r="E9" i="10"/>
  <c r="C4" i="13" a="1"/>
  <c r="C6" i="13" a="1"/>
  <c r="C8" i="13" a="1"/>
  <c r="C5" i="13" a="1"/>
  <c r="C7" i="13" a="1"/>
  <c r="C3" i="13" a="1"/>
  <c r="C3" i="13" l="1"/>
  <c r="E3" i="13" s="1"/>
  <c r="C6" i="13"/>
  <c r="E6" i="13" s="1"/>
  <c r="C5" i="13"/>
  <c r="E5" i="13" s="1"/>
  <c r="C8" i="13"/>
  <c r="E8" i="13" s="1"/>
  <c r="C7" i="13"/>
  <c r="E7" i="13" s="1"/>
  <c r="C4" i="13"/>
  <c r="E4" i="13" s="1"/>
  <c r="C9" i="11"/>
  <c r="E2" i="11"/>
  <c r="C3" i="14" a="1"/>
  <c r="C2" i="12"/>
  <c r="C5" i="14" a="1"/>
  <c r="C6" i="14" a="1"/>
  <c r="C8" i="14" a="1"/>
  <c r="C4" i="14" a="1"/>
  <c r="C7" i="14" a="1"/>
  <c r="C4" i="14" l="1"/>
  <c r="E4" i="14" s="1"/>
  <c r="C6" i="14"/>
  <c r="E6" i="14" s="1"/>
  <c r="C9" i="12"/>
  <c r="E2" i="12"/>
  <c r="C7" i="14"/>
  <c r="E7" i="14" s="1"/>
  <c r="C8" i="14"/>
  <c r="E8" i="14" s="1"/>
  <c r="C5" i="14"/>
  <c r="E5" i="14" s="1"/>
  <c r="C3" i="14"/>
  <c r="E3" i="14" s="1"/>
  <c r="E9" i="11"/>
  <c r="C6" i="15" a="1"/>
  <c r="C4" i="15" a="1"/>
  <c r="C8" i="15" a="1"/>
  <c r="C2" i="13" a="1"/>
  <c r="C5" i="15" a="1"/>
  <c r="C3" i="15" a="1"/>
  <c r="C7" i="15" a="1"/>
  <c r="C7" i="15" l="1"/>
  <c r="E7" i="15" s="1"/>
  <c r="C3" i="15"/>
  <c r="E3" i="15" s="1"/>
  <c r="C8" i="15"/>
  <c r="E8" i="15" s="1"/>
  <c r="C6" i="15"/>
  <c r="E6" i="15" s="1"/>
  <c r="C5" i="15"/>
  <c r="E5" i="15" s="1"/>
  <c r="C2" i="13"/>
  <c r="C4" i="15"/>
  <c r="E4" i="15" s="1"/>
  <c r="E9" i="12"/>
  <c r="C7" i="16" a="1"/>
  <c r="C4" i="16" a="1"/>
  <c r="C5" i="16" a="1"/>
  <c r="C3" i="16" a="1"/>
  <c r="C8" i="16" a="1"/>
  <c r="C6" i="16" a="1"/>
  <c r="C6" i="16" l="1"/>
  <c r="E6" i="16" s="1"/>
  <c r="C4" i="16"/>
  <c r="E4" i="16" s="1"/>
  <c r="C3" i="16"/>
  <c r="E3" i="16" s="1"/>
  <c r="C5" i="16"/>
  <c r="E5" i="16" s="1"/>
  <c r="C8" i="16"/>
  <c r="E8" i="16" s="1"/>
  <c r="C7" i="16"/>
  <c r="E7" i="16" s="1"/>
  <c r="C9" i="13"/>
  <c r="E2" i="13"/>
  <c r="C2" i="14" a="1"/>
  <c r="C2" i="14" l="1"/>
  <c r="E9" i="13"/>
  <c r="C9" i="14" l="1"/>
  <c r="E2" i="14"/>
  <c r="C2" i="15" a="1"/>
  <c r="C2" i="15" l="1"/>
  <c r="E9" i="14"/>
  <c r="E2" i="15" l="1"/>
  <c r="C9" i="15"/>
  <c r="C2" i="16" a="1"/>
  <c r="C2" i="16" l="1"/>
  <c r="E9" i="15"/>
  <c r="C9" i="16" l="1"/>
  <c r="E2" i="16"/>
  <c r="E9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<sst xmlns="http://schemas.openxmlformats.org/spreadsheetml/2006/main" count="1385" uniqueCount="58">
  <si>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</si>
  <si>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</si>
  <si>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</si>
  <si>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</si>
  <si>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</si>
  <si>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</si>
  <si>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</si>
  <si>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</si>
  <si>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</si>
  <si>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</si>
  <si>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</si>
  <si>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</si>
  <si>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</si>
  <si>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</si>
  <si>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</si>
  <si>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</si>
  <si>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</si>
  <si>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</si>
  <si>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</si>
  <si>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</si>
  <si>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</si>
  <si>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</si>
  <si>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</si>
  <si>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</si>
  <si>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</si>
  <si>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</si>
  <si>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</si>
  <si>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</si>
  <si>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</si>
  <si>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</si>
  <si>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</si>
  <si>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</si>
  <si>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</si>
  <si>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</si>
  <si>
    <t>Transfert</t>
  </si>
  <si>
    <t>Operations</t>
  </si>
  <si>
    <t>Closing balance</t>
  </si>
  <si>
    <t>Opening balance</t>
  </si>
  <si>
    <t>Total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</si>
  <si>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</si>
  <si>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</si>
  <si>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</si>
  <si>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</si>
  <si>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</si>
  <si>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</si>
  <si>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</si>
  <si>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</si>
  <si>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</si>
  <si>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</si>
  <si>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</si>
  <si>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</si>
  <si>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Expense Total</t>
  </si>
  <si>
    <t>Income Total</t>
  </si>
  <si>
    <t>Transfert Total</t>
  </si>
  <si>
    <t>Grand Total</t>
  </si>
  <si>
    <t>Row Labels</t>
  </si>
  <si>
    <t>Column Labels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</si>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</sst>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zł&quot;;[Red]\-#,##0.00\ &quot;zł&quot;"/>
    <numFmt numFmtId="165" formatCode="_-* #,##0.00\ [$zł-415]_-;\-* #,##0.00\ [$zł-415]_-;_-* &quot;-&quot;??\ [$zł-415]_-;_-@_-"/>
    <numFmt numFmtId="166" formatCode="#,##0.00\ &quot;zł&quot;"/>
  </numFmts>
  <fonts count="3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0" fontId="1" fillId="0" borderId="1" xfId="0" applyFont="1" applyBorder="1"/>
    <xf numFmtId="0" fontId="0" fillId="0" borderId="1" xfId="0" applyBorder="1"/>
    <xf numFmtId="165" fontId="0" fillId="0" borderId="0" xfId="0" applyNumberFormat="1"/>
    <xf numFmtId="165" fontId="0" fillId="2" borderId="2" xfId="0" applyNumberFormat="1" applyFill="1" applyBorder="1"/>
    <xf numFmtId="165" fontId="0" fillId="3" borderId="2" xfId="0" applyNumberFormat="1" applyFill="1" applyBorder="1"/>
    <xf numFmtId="166" fontId="0" fillId="0" borderId="0" xfId="0" applyNumberFormat="1"/>
    <xf numFmtId="165" fontId="2" fillId="0" borderId="0" xfId="0" applyNumberFormat="1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85"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numFmt numFmtId="165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numFmt numFmtId="166" formatCode="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sSetupInstall" refreshedDate="46003.574754745372" createdVersion="8" refreshedVersion="8" minRefreshableVersion="3" recordCount="206" xr:uid="{2A9D13D3-6364-43B9-B3A9-DBF4274AD612}">
  <cacheSource type="worksheet">
    <worksheetSource name="Operations"/>
  </cacheSource>
  <cacheFields count="7">
    <cacheField name="Amount" numFmtId="164">
      <sharedItems containsSemiMixedTypes="0" containsString="0" containsNumber="1" minValue="-2000" maxValue="4500"/>
    </cacheField>
    <cacheField name="Bank" numFmtId="0">
      <sharedItems/>
    </cacheField>
    <cacheField name="Product" numFmtId="0">
      <sharedItems/>
    </cacheField>
    <cacheField name="Category" numFmtId="0">
      <sharedItems count="16">
        <s v="Groceries"/>
        <s v="Salary"/>
        <s v="Accomodation"/>
        <s v="Multimedia"/>
        <s v="Other incoms"/>
        <s v="Other expences"/>
        <s v="Allowance"/>
        <s v="Entertainment"/>
        <s v="Transportation"/>
        <s v="Clothing"/>
        <s v="Studies"/>
        <s v="Financial"/>
        <s v="Health&amp;Beauty"/>
        <s v="Transfer"/>
        <s v="Gift"/>
        <s v="Scholarship"/>
      </sharedItems>
    </cacheField>
    <cacheField name="Type" numFmtId="0">
      <sharedItems count="4">
        <s v="Expense"/>
        <s v="Income"/>
        <s v="Transfert"/>
        <e v="#NAME?" u="1"/>
      </sharedItems>
    </cacheField>
    <cacheField name="Date" numFmtId="14">
      <sharedItems containsSemiMixedTypes="0" containsNonDate="0" containsDate="1" containsString="0" minDate="2024-01-05T00:00:00" maxDate="2024-12-31T00:00:00"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">
  <r>
    <n v="-1500"/>
    <s v="Santander"/>
    <s v="Account"/>
    <x v="0"/>
    <x v="0"/>
    <d v="2024-01-05T00:00:00"/>
    <x v="0"/>
  </r>
  <r>
    <n v="4500"/>
    <s v="Santander"/>
    <s v="Account"/>
    <x v="1"/>
    <x v="1"/>
    <d v="2024-01-10T00:00:00"/>
    <x v="0"/>
  </r>
  <r>
    <n v="-2000"/>
    <s v="Santander"/>
    <s v="Account"/>
    <x v="2"/>
    <x v="0"/>
    <d v="2024-01-11T00:00:00"/>
    <x v="0"/>
  </r>
  <r>
    <n v="-45"/>
    <s v="Millennium"/>
    <s v="Account"/>
    <x v="0"/>
    <x v="0"/>
    <d v="2024-01-14T00:00:00"/>
    <x v="0"/>
  </r>
  <r>
    <n v="-150"/>
    <s v="Santander"/>
    <s v="Credit card"/>
    <x v="3"/>
    <x v="0"/>
    <d v="2024-01-15T00:00:00"/>
    <x v="0"/>
  </r>
  <r>
    <n v="-120"/>
    <s v="Santander"/>
    <s v="Account"/>
    <x v="0"/>
    <x v="0"/>
    <d v="2024-01-16T00:00:00"/>
    <x v="0"/>
  </r>
  <r>
    <n v="500"/>
    <s v="Santander"/>
    <s v="Account"/>
    <x v="4"/>
    <x v="1"/>
    <d v="2024-01-17T00:00:00"/>
    <x v="0"/>
  </r>
  <r>
    <n v="-500"/>
    <s v="Santander"/>
    <s v="Fixed-term deposit"/>
    <x v="5"/>
    <x v="0"/>
    <d v="2024-01-17T00:00:00"/>
    <x v="0"/>
  </r>
  <r>
    <n v="250"/>
    <s v="Millennium"/>
    <s v="Savings account"/>
    <x v="6"/>
    <x v="1"/>
    <d v="2024-01-17T00:00:00"/>
    <x v="0"/>
  </r>
  <r>
    <n v="-25"/>
    <s v="Santander"/>
    <s v="Credit card"/>
    <x v="7"/>
    <x v="0"/>
    <d v="2024-01-19T00:00:00"/>
    <x v="0"/>
  </r>
  <r>
    <n v="-80"/>
    <s v="Santander"/>
    <s v="Account"/>
    <x v="8"/>
    <x v="0"/>
    <d v="2024-01-20T00:00:00"/>
    <x v="0"/>
  </r>
  <r>
    <n v="150"/>
    <s v="Millennium"/>
    <s v="Account"/>
    <x v="4"/>
    <x v="1"/>
    <d v="2024-01-21T00:00:00"/>
    <x v="0"/>
  </r>
  <r>
    <n v="-80"/>
    <s v="Millennium"/>
    <s v="Account"/>
    <x v="9"/>
    <x v="0"/>
    <d v="2024-01-22T00:00:00"/>
    <x v="0"/>
  </r>
  <r>
    <n v="-60"/>
    <s v="Millennium"/>
    <s v="Account"/>
    <x v="7"/>
    <x v="0"/>
    <d v="2024-01-23T00:00:00"/>
    <x v="0"/>
  </r>
  <r>
    <n v="-100"/>
    <s v="Santander"/>
    <s v="Account"/>
    <x v="10"/>
    <x v="0"/>
    <d v="2024-01-24T00:00:00"/>
    <x v="0"/>
  </r>
  <r>
    <n v="-50"/>
    <s v="Wallet"/>
    <s v="Gift card"/>
    <x v="0"/>
    <x v="0"/>
    <d v="2024-01-25T00:00:00"/>
    <x v="0"/>
  </r>
  <r>
    <n v="150"/>
    <s v="Wallet"/>
    <s v="Money"/>
    <x v="4"/>
    <x v="1"/>
    <d v="2024-01-25T00:00:00"/>
    <x v="0"/>
  </r>
  <r>
    <n v="5.5"/>
    <s v="Millennium"/>
    <s v="Savings account"/>
    <x v="11"/>
    <x v="1"/>
    <d v="2024-01-26T00:00:00"/>
    <x v="0"/>
  </r>
  <r>
    <n v="100"/>
    <s v="Santander"/>
    <s v="Fixed-term deposit"/>
    <x v="11"/>
    <x v="1"/>
    <d v="2024-01-27T00:00:00"/>
    <x v="0"/>
  </r>
  <r>
    <n v="-100"/>
    <s v="Santander"/>
    <s v="Account"/>
    <x v="12"/>
    <x v="0"/>
    <d v="2024-01-28T00:00:00"/>
    <x v="0"/>
  </r>
  <r>
    <n v="200"/>
    <s v="Millennium"/>
    <s v="Account"/>
    <x v="4"/>
    <x v="1"/>
    <d v="2024-02-02T00:00:00"/>
    <x v="1"/>
  </r>
  <r>
    <n v="-15"/>
    <s v="Millennium"/>
    <s v="Account"/>
    <x v="5"/>
    <x v="0"/>
    <d v="2024-02-04T00:00:00"/>
    <x v="1"/>
  </r>
  <r>
    <n v="-5.5"/>
    <s v="Santander"/>
    <s v="Account"/>
    <x v="0"/>
    <x v="0"/>
    <d v="2024-02-06T00:00:00"/>
    <x v="1"/>
  </r>
  <r>
    <n v="4500"/>
    <s v="Santander"/>
    <s v="Account"/>
    <x v="1"/>
    <x v="1"/>
    <d v="2024-02-10T00:00:00"/>
    <x v="1"/>
  </r>
  <r>
    <n v="-2000"/>
    <s v="Santander"/>
    <s v="Account"/>
    <x v="2"/>
    <x v="0"/>
    <d v="2024-02-11T00:00:00"/>
    <x v="1"/>
  </r>
  <r>
    <n v="-150"/>
    <s v="Santander"/>
    <s v="Account"/>
    <x v="7"/>
    <x v="0"/>
    <d v="2024-02-13T00:00:00"/>
    <x v="1"/>
  </r>
  <r>
    <n v="500"/>
    <s v="Santander"/>
    <s v="Account"/>
    <x v="4"/>
    <x v="1"/>
    <d v="2024-02-14T00:00:00"/>
    <x v="1"/>
  </r>
  <r>
    <n v="-300"/>
    <s v="Santander"/>
    <s v="Account"/>
    <x v="0"/>
    <x v="0"/>
    <d v="2024-02-14T00:00:00"/>
    <x v="1"/>
  </r>
  <r>
    <n v="-500"/>
    <s v="Santander"/>
    <s v="Fixed-term deposit"/>
    <x v="5"/>
    <x v="0"/>
    <d v="2024-02-14T00:00:00"/>
    <x v="1"/>
  </r>
  <r>
    <n v="-200"/>
    <s v="Wallet"/>
    <s v="Money"/>
    <x v="5"/>
    <x v="0"/>
    <d v="2024-02-14T00:00:00"/>
    <x v="1"/>
  </r>
  <r>
    <n v="175"/>
    <s v="Santander"/>
    <s v="Credit card"/>
    <x v="13"/>
    <x v="2"/>
    <d v="2024-02-15T00:00:00"/>
    <x v="1"/>
  </r>
  <r>
    <n v="-175"/>
    <s v="Santander"/>
    <s v="Account"/>
    <x v="13"/>
    <x v="2"/>
    <d v="2024-02-15T00:00:00"/>
    <x v="1"/>
  </r>
  <r>
    <n v="-100"/>
    <s v="Santander"/>
    <s v="Account"/>
    <x v="10"/>
    <x v="0"/>
    <d v="2024-02-17T00:00:00"/>
    <x v="1"/>
  </r>
  <r>
    <n v="-80"/>
    <s v="Santander"/>
    <s v="Account"/>
    <x v="8"/>
    <x v="0"/>
    <d v="2024-02-20T00:00:00"/>
    <x v="1"/>
  </r>
  <r>
    <n v="150"/>
    <s v="Wallet"/>
    <s v="Money"/>
    <x v="4"/>
    <x v="1"/>
    <d v="2024-02-22T00:00:00"/>
    <x v="1"/>
  </r>
  <r>
    <n v="100"/>
    <s v="Wallet"/>
    <s v="Gift card"/>
    <x v="4"/>
    <x v="1"/>
    <d v="2024-02-23T00:00:00"/>
    <x v="1"/>
  </r>
  <r>
    <n v="-200"/>
    <s v="Wallet"/>
    <s v="Money"/>
    <x v="7"/>
    <x v="0"/>
    <d v="2024-02-24T00:00:00"/>
    <x v="1"/>
  </r>
  <r>
    <n v="1000"/>
    <s v="Wallet"/>
    <s v="Money"/>
    <x v="4"/>
    <x v="1"/>
    <d v="2024-02-25T00:00:00"/>
    <x v="1"/>
  </r>
  <r>
    <n v="-250"/>
    <s v="Wallet"/>
    <s v="Money"/>
    <x v="12"/>
    <x v="0"/>
    <d v="2024-02-25T00:00:00"/>
    <x v="1"/>
  </r>
  <r>
    <n v="-100"/>
    <s v="Millennium"/>
    <s v="Account"/>
    <x v="0"/>
    <x v="0"/>
    <d v="2024-02-26T00:00:00"/>
    <x v="1"/>
  </r>
  <r>
    <n v="-50"/>
    <s v="Millennium"/>
    <s v="Account"/>
    <x v="5"/>
    <x v="0"/>
    <d v="2024-02-26T00:00:00"/>
    <x v="1"/>
  </r>
  <r>
    <n v="15"/>
    <s v="Millennium"/>
    <s v="Savings account"/>
    <x v="11"/>
    <x v="1"/>
    <d v="2024-02-27T00:00:00"/>
    <x v="1"/>
  </r>
  <r>
    <n v="-150"/>
    <s v="Santander"/>
    <s v="Account"/>
    <x v="3"/>
    <x v="0"/>
    <d v="2024-02-28T00:00:00"/>
    <x v="1"/>
  </r>
  <r>
    <n v="100"/>
    <s v="Santander"/>
    <s v="Fixed-term deposit"/>
    <x v="11"/>
    <x v="1"/>
    <d v="2024-02-28T00:00:00"/>
    <x v="1"/>
  </r>
  <r>
    <n v="-25"/>
    <s v="Santander"/>
    <s v="Credit card"/>
    <x v="0"/>
    <x v="0"/>
    <d v="2024-03-01T00:00:00"/>
    <x v="2"/>
  </r>
  <r>
    <n v="-135.5"/>
    <s v="Santander"/>
    <s v="Account"/>
    <x v="0"/>
    <x v="0"/>
    <d v="2024-03-02T00:00:00"/>
    <x v="2"/>
  </r>
  <r>
    <n v="-82.5"/>
    <s v="Millennium"/>
    <s v="Account"/>
    <x v="8"/>
    <x v="0"/>
    <d v="2024-03-02T00:00:00"/>
    <x v="2"/>
  </r>
  <r>
    <n v="-200"/>
    <s v="Santander"/>
    <s v="Account"/>
    <x v="7"/>
    <x v="0"/>
    <d v="2024-03-04T00:00:00"/>
    <x v="2"/>
  </r>
  <r>
    <n v="150"/>
    <s v="Millennium"/>
    <s v="Account"/>
    <x v="11"/>
    <x v="1"/>
    <d v="2024-03-06T00:00:00"/>
    <x v="2"/>
  </r>
  <r>
    <n v="-24.49"/>
    <s v="Wallet"/>
    <s v="Gift card"/>
    <x v="0"/>
    <x v="0"/>
    <d v="2024-03-08T00:00:00"/>
    <x v="2"/>
  </r>
  <r>
    <n v="4500"/>
    <s v="Santander"/>
    <s v="Account"/>
    <x v="1"/>
    <x v="1"/>
    <d v="2024-03-10T00:00:00"/>
    <x v="2"/>
  </r>
  <r>
    <n v="-2000"/>
    <s v="Santander"/>
    <s v="Account"/>
    <x v="2"/>
    <x v="0"/>
    <d v="2024-03-11T00:00:00"/>
    <x v="2"/>
  </r>
  <r>
    <n v="-200"/>
    <s v="Santander"/>
    <s v="Account"/>
    <x v="0"/>
    <x v="0"/>
    <d v="2024-03-12T00:00:00"/>
    <x v="2"/>
  </r>
  <r>
    <n v="-469.9"/>
    <s v="Santander"/>
    <s v="Account"/>
    <x v="9"/>
    <x v="0"/>
    <d v="2024-03-13T00:00:00"/>
    <x v="2"/>
  </r>
  <r>
    <n v="-9.5"/>
    <s v="Wallet"/>
    <s v="Money"/>
    <x v="12"/>
    <x v="0"/>
    <d v="2024-03-17T00:00:00"/>
    <x v="2"/>
  </r>
  <r>
    <n v="-23"/>
    <s v="Santander"/>
    <s v="Account"/>
    <x v="3"/>
    <x v="0"/>
    <d v="2024-03-20T00:00:00"/>
    <x v="2"/>
  </r>
  <r>
    <n v="-150"/>
    <s v="Santander"/>
    <s v="Account"/>
    <x v="0"/>
    <x v="0"/>
    <d v="2024-03-22T00:00:00"/>
    <x v="2"/>
  </r>
  <r>
    <n v="-300"/>
    <s v="Santander"/>
    <s v="Account"/>
    <x v="5"/>
    <x v="0"/>
    <d v="2024-03-24T00:00:00"/>
    <x v="2"/>
  </r>
  <r>
    <n v="5"/>
    <s v="Millennium"/>
    <s v="Savings account"/>
    <x v="14"/>
    <x v="1"/>
    <d v="2024-03-26T00:00:00"/>
    <x v="2"/>
  </r>
  <r>
    <n v="-79.5"/>
    <s v="Santander"/>
    <s v="Credit card"/>
    <x v="10"/>
    <x v="0"/>
    <d v="2024-03-28T00:00:00"/>
    <x v="2"/>
  </r>
  <r>
    <n v="-200"/>
    <s v="Santander"/>
    <s v="Account"/>
    <x v="0"/>
    <x v="0"/>
    <d v="2024-03-30T00:00:00"/>
    <x v="2"/>
  </r>
  <r>
    <n v="-23.5"/>
    <s v="Santander"/>
    <s v="Credit card"/>
    <x v="12"/>
    <x v="0"/>
    <d v="2024-04-01T00:00:00"/>
    <x v="3"/>
  </r>
  <r>
    <n v="-82.5"/>
    <s v="Santander"/>
    <s v="Account"/>
    <x v="8"/>
    <x v="0"/>
    <d v="2024-04-02T00:00:00"/>
    <x v="3"/>
  </r>
  <r>
    <n v="150"/>
    <s v="Millennium"/>
    <s v="Account"/>
    <x v="11"/>
    <x v="1"/>
    <d v="2024-04-06T00:00:00"/>
    <x v="3"/>
  </r>
  <r>
    <n v="-99.97"/>
    <s v="Santander"/>
    <s v="Account"/>
    <x v="0"/>
    <x v="0"/>
    <d v="2024-04-07T00:00:00"/>
    <x v="3"/>
  </r>
  <r>
    <n v="4500"/>
    <s v="Santander"/>
    <s v="Account"/>
    <x v="1"/>
    <x v="1"/>
    <d v="2024-04-10T00:00:00"/>
    <x v="3"/>
  </r>
  <r>
    <n v="-2000"/>
    <s v="Santander"/>
    <s v="Account"/>
    <x v="2"/>
    <x v="0"/>
    <d v="2024-04-11T00:00:00"/>
    <x v="3"/>
  </r>
  <r>
    <n v="-149"/>
    <s v="Santander"/>
    <s v="Account"/>
    <x v="9"/>
    <x v="0"/>
    <d v="2024-04-13T00:00:00"/>
    <x v="3"/>
  </r>
  <r>
    <n v="104.5"/>
    <s v="Santander"/>
    <s v="Credit card"/>
    <x v="13"/>
    <x v="2"/>
    <d v="2024-04-15T00:00:00"/>
    <x v="3"/>
  </r>
  <r>
    <n v="-104.5"/>
    <s v="Santander"/>
    <s v="Account"/>
    <x v="13"/>
    <x v="2"/>
    <d v="2024-04-15T00:00:00"/>
    <x v="3"/>
  </r>
  <r>
    <n v="-49"/>
    <s v="Millennium"/>
    <s v="Account"/>
    <x v="3"/>
    <x v="0"/>
    <d v="2024-04-15T00:00:00"/>
    <x v="3"/>
  </r>
  <r>
    <n v="-9.99"/>
    <s v="Santander"/>
    <s v="Credit card"/>
    <x v="0"/>
    <x v="0"/>
    <d v="2024-04-16T00:00:00"/>
    <x v="3"/>
  </r>
  <r>
    <n v="-100"/>
    <s v="Santander"/>
    <s v="Account"/>
    <x v="5"/>
    <x v="0"/>
    <d v="2024-04-17T00:00:00"/>
    <x v="3"/>
  </r>
  <r>
    <n v="-57.9"/>
    <s v="Santander"/>
    <s v="Credit card"/>
    <x v="7"/>
    <x v="0"/>
    <d v="2024-04-19T00:00:00"/>
    <x v="3"/>
  </r>
  <r>
    <n v="-159.9"/>
    <s v="Santander"/>
    <s v="Account"/>
    <x v="0"/>
    <x v="0"/>
    <d v="2024-04-21T00:00:00"/>
    <x v="3"/>
  </r>
  <r>
    <n v="-1000"/>
    <s v="Santander"/>
    <s v="Account"/>
    <x v="7"/>
    <x v="0"/>
    <d v="2024-04-23T00:00:00"/>
    <x v="3"/>
  </r>
  <r>
    <n v="50"/>
    <s v="Millennium"/>
    <s v="Savings account"/>
    <x v="14"/>
    <x v="1"/>
    <d v="2024-04-25T00:00:00"/>
    <x v="3"/>
  </r>
  <r>
    <n v="-69.900000000000006"/>
    <s v="Santander"/>
    <s v="Account"/>
    <x v="0"/>
    <x v="0"/>
    <d v="2024-04-27T00:00:00"/>
    <x v="3"/>
  </r>
  <r>
    <n v="-32.5"/>
    <s v="Santander"/>
    <s v="Account"/>
    <x v="0"/>
    <x v="0"/>
    <d v="2024-04-28T00:00:00"/>
    <x v="3"/>
  </r>
  <r>
    <n v="-139"/>
    <s v="Santander"/>
    <s v="Account"/>
    <x v="10"/>
    <x v="0"/>
    <d v="2024-04-29T00:00:00"/>
    <x v="3"/>
  </r>
  <r>
    <n v="-250"/>
    <s v="Santander"/>
    <s v="Credit card"/>
    <x v="0"/>
    <x v="0"/>
    <d v="2024-05-07T00:00:00"/>
    <x v="4"/>
  </r>
  <r>
    <n v="-80"/>
    <s v="Santander"/>
    <s v="Account"/>
    <x v="8"/>
    <x v="0"/>
    <d v="2024-05-10T00:00:00"/>
    <x v="4"/>
  </r>
  <r>
    <n v="4500"/>
    <s v="Santander"/>
    <s v="Account"/>
    <x v="1"/>
    <x v="1"/>
    <d v="2024-05-10T00:00:00"/>
    <x v="4"/>
  </r>
  <r>
    <n v="-2000"/>
    <s v="Santander"/>
    <s v="Account"/>
    <x v="2"/>
    <x v="0"/>
    <d v="2024-05-11T00:00:00"/>
    <x v="4"/>
  </r>
  <r>
    <n v="-250"/>
    <s v="Santander"/>
    <s v="Credit card"/>
    <x v="0"/>
    <x v="0"/>
    <d v="2024-05-14T00:00:00"/>
    <x v="4"/>
  </r>
  <r>
    <n v="91.39"/>
    <s v="Santander"/>
    <s v="Credit card"/>
    <x v="13"/>
    <x v="2"/>
    <d v="2024-05-15T00:00:00"/>
    <x v="4"/>
  </r>
  <r>
    <n v="-91.39"/>
    <s v="Santander"/>
    <s v="Account"/>
    <x v="13"/>
    <x v="2"/>
    <d v="2024-05-15T00:00:00"/>
    <x v="4"/>
  </r>
  <r>
    <n v="-250"/>
    <s v="Santander"/>
    <s v="Credit card"/>
    <x v="0"/>
    <x v="0"/>
    <d v="2024-05-21T00:00:00"/>
    <x v="4"/>
  </r>
  <r>
    <n v="-250"/>
    <s v="Santander"/>
    <s v="Credit card"/>
    <x v="0"/>
    <x v="0"/>
    <d v="2024-05-28T00:00:00"/>
    <x v="4"/>
  </r>
  <r>
    <n v="-50"/>
    <s v="Millennium"/>
    <s v="Account"/>
    <x v="3"/>
    <x v="0"/>
    <d v="2024-05-29T00:00:00"/>
    <x v="4"/>
  </r>
  <r>
    <n v="-80"/>
    <s v="Wallet"/>
    <s v="Money"/>
    <x v="7"/>
    <x v="0"/>
    <d v="2024-05-30T00:00:00"/>
    <x v="4"/>
  </r>
  <r>
    <n v="-250"/>
    <s v="Santander"/>
    <s v="Credit card"/>
    <x v="0"/>
    <x v="0"/>
    <d v="2024-06-07T00:00:00"/>
    <x v="5"/>
  </r>
  <r>
    <n v="-80"/>
    <s v="Santander"/>
    <s v="Account"/>
    <x v="8"/>
    <x v="0"/>
    <d v="2024-06-10T00:00:00"/>
    <x v="5"/>
  </r>
  <r>
    <n v="4500"/>
    <s v="Santander"/>
    <s v="Account"/>
    <x v="1"/>
    <x v="1"/>
    <d v="2024-06-10T00:00:00"/>
    <x v="5"/>
  </r>
  <r>
    <n v="-2000"/>
    <s v="Santander"/>
    <s v="Account"/>
    <x v="2"/>
    <x v="0"/>
    <d v="2024-06-11T00:00:00"/>
    <x v="5"/>
  </r>
  <r>
    <n v="-250"/>
    <s v="Santander"/>
    <s v="Credit card"/>
    <x v="0"/>
    <x v="0"/>
    <d v="2024-06-14T00:00:00"/>
    <x v="5"/>
  </r>
  <r>
    <n v="1000"/>
    <s v="Santander"/>
    <s v="Credit card"/>
    <x v="13"/>
    <x v="2"/>
    <d v="2024-06-15T00:00:00"/>
    <x v="5"/>
  </r>
  <r>
    <n v="-1000"/>
    <s v="Santander"/>
    <s v="Account"/>
    <x v="13"/>
    <x v="2"/>
    <d v="2024-06-15T00:00:00"/>
    <x v="5"/>
  </r>
  <r>
    <n v="-100"/>
    <s v="Millennium"/>
    <s v="Account"/>
    <x v="12"/>
    <x v="0"/>
    <d v="2024-06-15T00:00:00"/>
    <x v="5"/>
  </r>
  <r>
    <n v="-250"/>
    <s v="Santander"/>
    <s v="Credit card"/>
    <x v="0"/>
    <x v="0"/>
    <d v="2024-06-21T00:00:00"/>
    <x v="5"/>
  </r>
  <r>
    <n v="-250"/>
    <s v="Santander"/>
    <s v="Credit card"/>
    <x v="0"/>
    <x v="0"/>
    <d v="2024-06-28T00:00:00"/>
    <x v="5"/>
  </r>
  <r>
    <n v="-300"/>
    <s v="Santander"/>
    <s v="Credit card"/>
    <x v="9"/>
    <x v="0"/>
    <d v="2024-06-28T00:00:00"/>
    <x v="5"/>
  </r>
  <r>
    <n v="-50"/>
    <s v="Millennium"/>
    <s v="Account"/>
    <x v="3"/>
    <x v="0"/>
    <d v="2024-06-29T00:00:00"/>
    <x v="5"/>
  </r>
  <r>
    <n v="400"/>
    <s v="Millennium"/>
    <s v="Account"/>
    <x v="6"/>
    <x v="1"/>
    <d v="2024-06-29T00:00:00"/>
    <x v="5"/>
  </r>
  <r>
    <n v="-200"/>
    <s v="Wallet"/>
    <s v="Money"/>
    <x v="7"/>
    <x v="0"/>
    <d v="2024-06-30T00:00:00"/>
    <x v="5"/>
  </r>
  <r>
    <n v="-30"/>
    <s v="Wallet"/>
    <s v="Gift card"/>
    <x v="0"/>
    <x v="0"/>
    <d v="2024-07-03T00:00:00"/>
    <x v="6"/>
  </r>
  <r>
    <n v="-100"/>
    <s v="Santander"/>
    <s v="Account"/>
    <x v="7"/>
    <x v="0"/>
    <d v="2024-07-07T00:00:00"/>
    <x v="6"/>
  </r>
  <r>
    <n v="4500"/>
    <s v="Santander"/>
    <s v="Account"/>
    <x v="1"/>
    <x v="1"/>
    <d v="2024-07-10T00:00:00"/>
    <x v="6"/>
  </r>
  <r>
    <n v="-2000"/>
    <s v="Santander"/>
    <s v="Account"/>
    <x v="2"/>
    <x v="0"/>
    <d v="2024-07-11T00:00:00"/>
    <x v="6"/>
  </r>
  <r>
    <n v="-40"/>
    <s v="Santander"/>
    <s v="Credit card"/>
    <x v="0"/>
    <x v="0"/>
    <d v="2024-07-14T00:00:00"/>
    <x v="6"/>
  </r>
  <r>
    <n v="1300"/>
    <s v="Santander"/>
    <s v="Credit card"/>
    <x v="13"/>
    <x v="2"/>
    <d v="2024-07-15T00:00:00"/>
    <x v="6"/>
  </r>
  <r>
    <n v="-1300"/>
    <s v="Santander"/>
    <s v="Account"/>
    <x v="13"/>
    <x v="2"/>
    <d v="2024-07-15T00:00:00"/>
    <x v="6"/>
  </r>
  <r>
    <n v="-300"/>
    <s v="Santander"/>
    <s v="Fixed-term deposit"/>
    <x v="12"/>
    <x v="0"/>
    <d v="2024-07-16T00:00:00"/>
    <x v="6"/>
  </r>
  <r>
    <n v="800"/>
    <s v="Millennium"/>
    <s v="Savings account"/>
    <x v="14"/>
    <x v="1"/>
    <d v="2024-07-18T00:00:00"/>
    <x v="6"/>
  </r>
  <r>
    <n v="-600"/>
    <s v="Millennium"/>
    <s v="Account"/>
    <x v="7"/>
    <x v="0"/>
    <d v="2024-07-21T00:00:00"/>
    <x v="6"/>
  </r>
  <r>
    <n v="120"/>
    <s v="Santander"/>
    <s v="Fixed-term deposit"/>
    <x v="11"/>
    <x v="1"/>
    <d v="2024-07-22T00:00:00"/>
    <x v="6"/>
  </r>
  <r>
    <n v="-90"/>
    <s v="Santander"/>
    <s v="Account"/>
    <x v="8"/>
    <x v="0"/>
    <d v="2024-07-24T00:00:00"/>
    <x v="6"/>
  </r>
  <r>
    <n v="-50"/>
    <s v="Santander"/>
    <s v="Credit card"/>
    <x v="0"/>
    <x v="0"/>
    <d v="2024-07-26T00:00:00"/>
    <x v="6"/>
  </r>
  <r>
    <n v="250"/>
    <s v="Millennium"/>
    <s v="Savings account"/>
    <x v="9"/>
    <x v="0"/>
    <d v="2024-07-29T00:00:00"/>
    <x v="6"/>
  </r>
  <r>
    <n v="500"/>
    <s v="Millennium"/>
    <s v="Account"/>
    <x v="15"/>
    <x v="1"/>
    <d v="2024-07-30T00:00:00"/>
    <x v="6"/>
  </r>
  <r>
    <n v="-45"/>
    <s v="Santander"/>
    <s v="Credit card"/>
    <x v="0"/>
    <x v="0"/>
    <d v="2024-07-31T00:00:00"/>
    <x v="6"/>
  </r>
  <r>
    <n v="-600"/>
    <s v="Santander"/>
    <s v="Account"/>
    <x v="0"/>
    <x v="0"/>
    <d v="2024-08-01T00:00:00"/>
    <x v="7"/>
  </r>
  <r>
    <n v="-1020"/>
    <s v="Santander"/>
    <s v="Fixed-term deposit"/>
    <x v="13"/>
    <x v="2"/>
    <d v="2024-08-01T00:00:00"/>
    <x v="7"/>
  </r>
  <r>
    <n v="-200"/>
    <s v="Millennium"/>
    <s v="Account"/>
    <x v="8"/>
    <x v="0"/>
    <d v="2024-08-01T00:00:00"/>
    <x v="7"/>
  </r>
  <r>
    <n v="-70"/>
    <s v="Santander"/>
    <s v="Credit card"/>
    <x v="0"/>
    <x v="0"/>
    <d v="2024-08-09T00:00:00"/>
    <x v="7"/>
  </r>
  <r>
    <n v="4500"/>
    <s v="Santander"/>
    <s v="Account"/>
    <x v="1"/>
    <x v="1"/>
    <d v="2024-08-10T00:00:00"/>
    <x v="7"/>
  </r>
  <r>
    <n v="-2000"/>
    <s v="Santander"/>
    <s v="Account"/>
    <x v="2"/>
    <x v="0"/>
    <d v="2024-08-11T00:00:00"/>
    <x v="7"/>
  </r>
  <r>
    <n v="-100"/>
    <s v="Millennium"/>
    <s v="Account"/>
    <x v="7"/>
    <x v="0"/>
    <d v="2024-08-14T00:00:00"/>
    <x v="7"/>
  </r>
  <r>
    <n v="135"/>
    <s v="Santander"/>
    <s v="Credit card"/>
    <x v="13"/>
    <x v="2"/>
    <d v="2024-08-15T00:00:00"/>
    <x v="7"/>
  </r>
  <r>
    <n v="-135"/>
    <s v="Santander"/>
    <s v="Account"/>
    <x v="13"/>
    <x v="2"/>
    <d v="2024-08-15T00:00:00"/>
    <x v="7"/>
  </r>
  <r>
    <n v="-400"/>
    <s v="Santander"/>
    <s v="Account"/>
    <x v="12"/>
    <x v="0"/>
    <d v="2024-08-16T00:00:00"/>
    <x v="7"/>
  </r>
  <r>
    <n v="-32"/>
    <s v="Santander"/>
    <s v="Credit card"/>
    <x v="0"/>
    <x v="0"/>
    <d v="2024-08-18T00:00:00"/>
    <x v="7"/>
  </r>
  <r>
    <n v="200"/>
    <s v="Wallet"/>
    <s v="Money"/>
    <x v="14"/>
    <x v="1"/>
    <d v="2024-08-20T00:00:00"/>
    <x v="7"/>
  </r>
  <r>
    <n v="-150"/>
    <s v="Wallet"/>
    <s v="Money"/>
    <x v="7"/>
    <x v="0"/>
    <d v="2024-08-22T00:00:00"/>
    <x v="7"/>
  </r>
  <r>
    <n v="-47.5"/>
    <s v="Wallet"/>
    <s v="Money"/>
    <x v="0"/>
    <x v="0"/>
    <d v="2024-08-23T00:00:00"/>
    <x v="7"/>
  </r>
  <r>
    <n v="-90"/>
    <s v="Santander"/>
    <s v="Account"/>
    <x v="8"/>
    <x v="0"/>
    <d v="2024-08-24T00:00:00"/>
    <x v="7"/>
  </r>
  <r>
    <n v="-300"/>
    <s v="Millennium"/>
    <s v="Savings account"/>
    <x v="9"/>
    <x v="0"/>
    <d v="2024-08-27T00:00:00"/>
    <x v="7"/>
  </r>
  <r>
    <n v="500"/>
    <s v="Millennium"/>
    <s v="Account"/>
    <x v="15"/>
    <x v="1"/>
    <d v="2024-08-30T00:00:00"/>
    <x v="7"/>
  </r>
  <r>
    <n v="200"/>
    <s v="Santander"/>
    <s v="Account"/>
    <x v="14"/>
    <x v="1"/>
    <d v="2024-08-31T00:00:00"/>
    <x v="7"/>
  </r>
  <r>
    <n v="-150"/>
    <s v="Santander"/>
    <s v="Account"/>
    <x v="8"/>
    <x v="0"/>
    <d v="2024-09-01T00:00:00"/>
    <x v="8"/>
  </r>
  <r>
    <n v="-20"/>
    <s v="Millennium"/>
    <s v="Account"/>
    <x v="0"/>
    <x v="0"/>
    <d v="2024-09-04T00:00:00"/>
    <x v="8"/>
  </r>
  <r>
    <n v="-40"/>
    <s v="Santander"/>
    <s v="Account"/>
    <x v="3"/>
    <x v="0"/>
    <d v="2024-09-07T00:00:00"/>
    <x v="8"/>
  </r>
  <r>
    <n v="-500"/>
    <s v="Santander"/>
    <s v="Account"/>
    <x v="0"/>
    <x v="0"/>
    <d v="2024-09-08T00:00:00"/>
    <x v="8"/>
  </r>
  <r>
    <n v="4500"/>
    <s v="Santander"/>
    <s v="Account"/>
    <x v="1"/>
    <x v="1"/>
    <d v="2024-09-10T00:00:00"/>
    <x v="8"/>
  </r>
  <r>
    <n v="-20"/>
    <s v="Santander"/>
    <s v="Credit card"/>
    <x v="7"/>
    <x v="0"/>
    <d v="2024-09-11T00:00:00"/>
    <x v="8"/>
  </r>
  <r>
    <n v="-2000"/>
    <s v="Santander"/>
    <s v="Account"/>
    <x v="2"/>
    <x v="0"/>
    <d v="2024-09-11T00:00:00"/>
    <x v="8"/>
  </r>
  <r>
    <n v="102"/>
    <s v="Santander"/>
    <s v="Credit card"/>
    <x v="13"/>
    <x v="2"/>
    <d v="2024-09-15T00:00:00"/>
    <x v="8"/>
  </r>
  <r>
    <n v="-102"/>
    <s v="Santander"/>
    <s v="Account"/>
    <x v="13"/>
    <x v="2"/>
    <d v="2024-09-15T00:00:00"/>
    <x v="8"/>
  </r>
  <r>
    <n v="-18.5"/>
    <s v="Santander"/>
    <s v="Account"/>
    <x v="0"/>
    <x v="0"/>
    <d v="2024-09-18T00:00:00"/>
    <x v="8"/>
  </r>
  <r>
    <n v="-150"/>
    <s v="Santander"/>
    <s v="Account"/>
    <x v="8"/>
    <x v="0"/>
    <d v="2024-10-01T00:00:00"/>
    <x v="9"/>
  </r>
  <r>
    <n v="-40"/>
    <s v="Santander"/>
    <s v="Account"/>
    <x v="3"/>
    <x v="0"/>
    <d v="2024-10-07T00:00:00"/>
    <x v="9"/>
  </r>
  <r>
    <n v="-600"/>
    <s v="Santander"/>
    <s v="Account"/>
    <x v="0"/>
    <x v="0"/>
    <d v="2024-10-08T00:00:00"/>
    <x v="9"/>
  </r>
  <r>
    <n v="4500"/>
    <s v="Santander"/>
    <s v="Account"/>
    <x v="1"/>
    <x v="1"/>
    <d v="2024-10-10T00:00:00"/>
    <x v="9"/>
  </r>
  <r>
    <n v="-40"/>
    <s v="Santander"/>
    <s v="Credit card"/>
    <x v="7"/>
    <x v="0"/>
    <d v="2024-10-11T00:00:00"/>
    <x v="9"/>
  </r>
  <r>
    <n v="-2000"/>
    <s v="Santander"/>
    <s v="Account"/>
    <x v="2"/>
    <x v="0"/>
    <d v="2024-10-11T00:00:00"/>
    <x v="9"/>
  </r>
  <r>
    <n v="20"/>
    <s v="Santander"/>
    <s v="Credit card"/>
    <x v="13"/>
    <x v="2"/>
    <d v="2024-10-15T00:00:00"/>
    <x v="9"/>
  </r>
  <r>
    <n v="-20"/>
    <s v="Santander"/>
    <s v="Account"/>
    <x v="13"/>
    <x v="2"/>
    <d v="2024-10-15T00:00:00"/>
    <x v="9"/>
  </r>
  <r>
    <n v="4500"/>
    <s v="Santander"/>
    <s v="Account"/>
    <x v="1"/>
    <x v="1"/>
    <d v="2024-11-10T00:00:00"/>
    <x v="10"/>
  </r>
  <r>
    <n v="-2000"/>
    <s v="Santander"/>
    <s v="Account"/>
    <x v="2"/>
    <x v="0"/>
    <d v="2024-11-11T00:00:00"/>
    <x v="10"/>
  </r>
  <r>
    <n v="-82"/>
    <s v="Santander"/>
    <s v="Account"/>
    <x v="8"/>
    <x v="0"/>
    <d v="2024-11-11T00:00:00"/>
    <x v="10"/>
  </r>
  <r>
    <n v="-200"/>
    <s v="Santander"/>
    <s v="Account"/>
    <x v="0"/>
    <x v="0"/>
    <d v="2024-11-11T00:00:00"/>
    <x v="10"/>
  </r>
  <r>
    <n v="-12"/>
    <s v="Santander"/>
    <s v="Account"/>
    <x v="3"/>
    <x v="0"/>
    <d v="2024-11-12T00:00:00"/>
    <x v="10"/>
  </r>
  <r>
    <n v="-90"/>
    <s v="Santander"/>
    <s v="Account"/>
    <x v="7"/>
    <x v="0"/>
    <d v="2024-11-14T00:00:00"/>
    <x v="10"/>
  </r>
  <r>
    <n v="40"/>
    <s v="Santander"/>
    <s v="Credit card"/>
    <x v="13"/>
    <x v="2"/>
    <d v="2024-11-15T00:00:00"/>
    <x v="10"/>
  </r>
  <r>
    <n v="-40"/>
    <s v="Santander"/>
    <s v="Account"/>
    <x v="13"/>
    <x v="2"/>
    <d v="2024-11-15T00:00:00"/>
    <x v="10"/>
  </r>
  <r>
    <n v="-28"/>
    <s v="Santander"/>
    <s v="Account"/>
    <x v="0"/>
    <x v="0"/>
    <d v="2024-11-16T00:00:00"/>
    <x v="10"/>
  </r>
  <r>
    <n v="-63"/>
    <s v="Santander"/>
    <s v="Account"/>
    <x v="12"/>
    <x v="0"/>
    <d v="2024-11-17T00:00:00"/>
    <x v="10"/>
  </r>
  <r>
    <n v="-15"/>
    <s v="Santander"/>
    <s v="Account"/>
    <x v="8"/>
    <x v="0"/>
    <d v="2024-11-17T00:00:00"/>
    <x v="10"/>
  </r>
  <r>
    <n v="-44"/>
    <s v="Santander"/>
    <s v="Account"/>
    <x v="0"/>
    <x v="0"/>
    <d v="2024-11-19T00:00:00"/>
    <x v="10"/>
  </r>
  <r>
    <n v="-107"/>
    <s v="Santander"/>
    <s v="Account"/>
    <x v="9"/>
    <x v="0"/>
    <d v="2024-11-20T00:00:00"/>
    <x v="10"/>
  </r>
  <r>
    <n v="-169"/>
    <s v="Santander"/>
    <s v="Account"/>
    <x v="5"/>
    <x v="0"/>
    <d v="2024-11-21T00:00:00"/>
    <x v="10"/>
  </r>
  <r>
    <n v="-51"/>
    <s v="Santander"/>
    <s v="Account"/>
    <x v="9"/>
    <x v="0"/>
    <d v="2024-11-22T00:00:00"/>
    <x v="10"/>
  </r>
  <r>
    <n v="-80"/>
    <s v="Santander"/>
    <s v="Account"/>
    <x v="0"/>
    <x v="0"/>
    <d v="2024-11-22T00:00:00"/>
    <x v="10"/>
  </r>
  <r>
    <n v="-70"/>
    <s v="Santander"/>
    <s v="Account"/>
    <x v="12"/>
    <x v="0"/>
    <d v="2024-11-22T00:00:00"/>
    <x v="10"/>
  </r>
  <r>
    <n v="-35"/>
    <s v="Santander"/>
    <s v="Account"/>
    <x v="3"/>
    <x v="0"/>
    <d v="2024-11-23T00:00:00"/>
    <x v="10"/>
  </r>
  <r>
    <n v="-11"/>
    <s v="Santander"/>
    <s v="Account"/>
    <x v="8"/>
    <x v="0"/>
    <d v="2024-11-23T00:00:00"/>
    <x v="10"/>
  </r>
  <r>
    <n v="-80"/>
    <s v="Santander"/>
    <s v="Account"/>
    <x v="7"/>
    <x v="0"/>
    <d v="2024-11-25T00:00:00"/>
    <x v="10"/>
  </r>
  <r>
    <n v="-58"/>
    <s v="Santander"/>
    <s v="Account"/>
    <x v="0"/>
    <x v="0"/>
    <d v="2024-11-26T00:00:00"/>
    <x v="10"/>
  </r>
  <r>
    <n v="-52"/>
    <s v="Santander"/>
    <s v="Account"/>
    <x v="8"/>
    <x v="0"/>
    <d v="2024-11-27T00:00:00"/>
    <x v="10"/>
  </r>
  <r>
    <n v="-44"/>
    <s v="Santander"/>
    <s v="Account"/>
    <x v="7"/>
    <x v="0"/>
    <d v="2024-11-27T00:00:00"/>
    <x v="10"/>
  </r>
  <r>
    <n v="-48"/>
    <s v="Santander"/>
    <s v="Account"/>
    <x v="8"/>
    <x v="0"/>
    <d v="2024-11-27T00:00:00"/>
    <x v="10"/>
  </r>
  <r>
    <n v="-65"/>
    <s v="Santander"/>
    <s v="Account"/>
    <x v="5"/>
    <x v="0"/>
    <d v="2024-11-28T00:00:00"/>
    <x v="10"/>
  </r>
  <r>
    <n v="400"/>
    <s v="Wallet"/>
    <s v="Money"/>
    <x v="14"/>
    <x v="1"/>
    <d v="2024-11-29T00:00:00"/>
    <x v="10"/>
  </r>
  <r>
    <n v="-96"/>
    <s v="Santander"/>
    <s v="Account"/>
    <x v="0"/>
    <x v="0"/>
    <d v="2024-11-30T00:00:00"/>
    <x v="10"/>
  </r>
  <r>
    <n v="-50"/>
    <s v="Santander"/>
    <s v="Account"/>
    <x v="0"/>
    <x v="0"/>
    <d v="2024-12-01T00:00:00"/>
    <x v="11"/>
  </r>
  <r>
    <n v="-50"/>
    <s v="Santander"/>
    <s v="Account"/>
    <x v="0"/>
    <x v="0"/>
    <d v="2024-12-01T00:00:00"/>
    <x v="11"/>
  </r>
  <r>
    <n v="-5"/>
    <s v="Santander"/>
    <s v="Account"/>
    <x v="12"/>
    <x v="0"/>
    <d v="2024-12-02T00:00:00"/>
    <x v="11"/>
  </r>
  <r>
    <n v="-100"/>
    <s v="Santander"/>
    <s v="Account"/>
    <x v="5"/>
    <x v="0"/>
    <d v="2024-12-02T00:00:00"/>
    <x v="11"/>
  </r>
  <r>
    <n v="-60"/>
    <s v="Santander"/>
    <s v="Account"/>
    <x v="9"/>
    <x v="0"/>
    <d v="2024-12-02T00:00:00"/>
    <x v="11"/>
  </r>
  <r>
    <n v="-5"/>
    <s v="Santander"/>
    <s v="Account"/>
    <x v="12"/>
    <x v="0"/>
    <d v="2024-12-02T00:00:00"/>
    <x v="11"/>
  </r>
  <r>
    <n v="-100"/>
    <s v="Santander"/>
    <s v="Account"/>
    <x v="5"/>
    <x v="0"/>
    <d v="2024-12-02T00:00:00"/>
    <x v="11"/>
  </r>
  <r>
    <n v="-60"/>
    <s v="Santander"/>
    <s v="Account"/>
    <x v="9"/>
    <x v="0"/>
    <d v="2024-12-02T00:00:00"/>
    <x v="11"/>
  </r>
  <r>
    <n v="-150"/>
    <s v="Santander"/>
    <s v="Account"/>
    <x v="7"/>
    <x v="0"/>
    <d v="2024-12-03T00:00:00"/>
    <x v="11"/>
  </r>
  <r>
    <n v="-150"/>
    <s v="Santander"/>
    <s v="Account"/>
    <x v="7"/>
    <x v="0"/>
    <d v="2024-12-03T00:00:00"/>
    <x v="11"/>
  </r>
  <r>
    <n v="-100"/>
    <s v="Santander"/>
    <s v="Account"/>
    <x v="0"/>
    <x v="0"/>
    <d v="2024-12-06T00:00:00"/>
    <x v="11"/>
  </r>
  <r>
    <n v="-100"/>
    <s v="Santander"/>
    <s v="Account"/>
    <x v="0"/>
    <x v="0"/>
    <d v="2024-12-06T00:00:00"/>
    <x v="11"/>
  </r>
  <r>
    <n v="4500"/>
    <s v="Santander"/>
    <s v="Account"/>
    <x v="1"/>
    <x v="1"/>
    <d v="2024-12-10T00:00:00"/>
    <x v="11"/>
  </r>
  <r>
    <n v="-2000"/>
    <s v="Santander"/>
    <s v="Account"/>
    <x v="2"/>
    <x v="0"/>
    <d v="2024-12-11T00:00:00"/>
    <x v="11"/>
  </r>
  <r>
    <n v="-50"/>
    <s v="Santander"/>
    <s v="Account"/>
    <x v="7"/>
    <x v="0"/>
    <d v="2024-12-14T00:00:00"/>
    <x v="11"/>
  </r>
  <r>
    <n v="-100"/>
    <s v="Santander"/>
    <s v="Account"/>
    <x v="10"/>
    <x v="0"/>
    <d v="2024-12-15T00:00:00"/>
    <x v="11"/>
  </r>
  <r>
    <n v="-100"/>
    <s v="Santander"/>
    <s v="Account"/>
    <x v="0"/>
    <x v="0"/>
    <d v="2024-12-18T00:00:00"/>
    <x v="11"/>
  </r>
  <r>
    <n v="500"/>
    <s v="Wallet"/>
    <s v="Money"/>
    <x v="14"/>
    <x v="1"/>
    <d v="2024-12-22T00:00:00"/>
    <x v="11"/>
  </r>
  <r>
    <n v="-100"/>
    <s v="Wallet"/>
    <s v="Money"/>
    <x v="7"/>
    <x v="0"/>
    <d v="2024-12-23T00:00:00"/>
    <x v="11"/>
  </r>
  <r>
    <n v="1500"/>
    <s v="Wallet"/>
    <s v="Money"/>
    <x v="14"/>
    <x v="1"/>
    <d v="2024-12-24T00:00:00"/>
    <x v="11"/>
  </r>
  <r>
    <n v="-500"/>
    <s v="Wallet"/>
    <s v="Money"/>
    <x v="5"/>
    <x v="0"/>
    <d v="2024-12-28T00:00:00"/>
    <x v="11"/>
  </r>
  <r>
    <n v="-300"/>
    <s v="Wallet"/>
    <s v="Money"/>
    <x v="0"/>
    <x v="0"/>
    <d v="2024-12-30T00:00:0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D9D03-A2D1-408F-99F0-C13DB097B866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4" firstHeaderRow="1" firstDataRow="2" firstDataCol="1"/>
  <pivotFields count="7">
    <pivotField dataField="1" numFmtId="164" showAll="0"/>
    <pivotField showAll="0"/>
    <pivotField showAll="0"/>
    <pivotField axis="axisRow" showAll="0">
      <items count="17">
        <item x="2"/>
        <item x="6"/>
        <item x="9"/>
        <item x="7"/>
        <item x="11"/>
        <item x="14"/>
        <item x="0"/>
        <item x="12"/>
        <item x="3"/>
        <item x="5"/>
        <item x="4"/>
        <item x="1"/>
        <item x="15"/>
        <item x="10"/>
        <item x="13"/>
        <item x="8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numFmtId="14"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2">
    <field x="4"/>
    <field x="3"/>
  </rowFields>
  <rowItems count="20">
    <i>
      <x v="1"/>
    </i>
    <i r="1">
      <x/>
    </i>
    <i r="1">
      <x v="2"/>
    </i>
    <i r="1">
      <x v="3"/>
    </i>
    <i r="1">
      <x v="6"/>
    </i>
    <i r="1">
      <x v="7"/>
    </i>
    <i r="1">
      <x v="8"/>
    </i>
    <i r="1">
      <x v="9"/>
    </i>
    <i r="1">
      <x v="13"/>
    </i>
    <i r="1">
      <x v="15"/>
    </i>
    <i>
      <x v="2"/>
    </i>
    <i r="1">
      <x v="1"/>
    </i>
    <i r="1">
      <x v="4"/>
    </i>
    <i r="1">
      <x v="5"/>
    </i>
    <i r="1">
      <x v="10"/>
    </i>
    <i r="1">
      <x v="11"/>
    </i>
    <i r="1">
      <x v="12"/>
    </i>
    <i>
      <x v="3"/>
    </i>
    <i r="1">
      <x v="14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Amount" fld="0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1BC74A-DDC2-4B4C-AE0C-03BA92D90741}" name="Categories" displayName="Categories" ref="A1:B17" totalsRowShown="0">
  <autoFilter ref="A1:B17" xr:uid="{FFDBC6BC-B9BD-47EE-B2CB-AEB1438C6764}"/>
  <sortState xmlns:xlrd2="http://schemas.microsoft.com/office/spreadsheetml/2017/richdata2" ref="A2:B17">
    <sortCondition ref="B2:B17"/>
    <sortCondition ref="A2:A17"/>
  </sortState>
  <tableColumns count="2">
    <tableColumn id="1" xr3:uid="{96CA6C19-D99F-42A3-B9D3-0019A742AF8B}" name="Category" dataDxfId="184"/>
    <tableColumn id="2" xr3:uid="{0EA9F851-FCD1-470B-9F83-640CF24D733D}" name="Typ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FEB315-109D-E041-9DC6-18E38FB09015}" name="Products" displayName="Products" ref="F1:G8" totalsRowShown="0" headerRowDxfId="183" dataDxfId="182">
  <autoFilter ref="F1:G8" xr:uid="{10FEB315-109D-E041-9DC6-18E38FB09015}"/>
  <sortState xmlns:xlrd2="http://schemas.microsoft.com/office/spreadsheetml/2017/richdata2" ref="F2:G8">
    <sortCondition ref="F2:F8"/>
    <sortCondition ref="G2:G8"/>
  </sortState>
  <tableColumns count="2">
    <tableColumn id="1" xr3:uid="{6A24EE09-3EA0-E040-8F11-8EF4D848D281}" name="Bank" dataDxfId="181"/>
    <tableColumn id="2" xr3:uid="{5DC547AF-683F-2849-9609-D29B1CCE96DA}" name="Product" dataDxfId="18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EA216C-FFD9-4A05-BF08-B832A43E3520}" name="Operations" displayName="Operations" ref="A1:G207" totalsRowShown="0" headerRowDxfId="179" dataDxfId="178">
  <autoFilter ref="A1:G207" xr:uid="{77EA216C-FFD9-4A05-BF08-B832A43E3520}">
    <filterColumn colId="3">
      <filters>
        <filter val="Transfer"/>
      </filters>
    </filterColumn>
  </autoFilter>
  <tableColumns count="7">
    <tableColumn id="1" xr3:uid="{68ACE8F2-D3B7-4A07-A81C-AF60D2DE6312}" name="Amount" dataDxfId="177"/>
    <tableColumn id="2" xr3:uid="{7254576B-CAD8-4BF8-91A7-FCE7DBDF3336}" name="Bank" dataDxfId="176"/>
    <tableColumn id="3" xr3:uid="{B4A67B35-2B8C-48AF-AB70-F7C5686F9E6F}" name="Product" dataDxfId="175"/>
    <tableColumn id="4" xr3:uid="{0AA0F34C-1B3B-40BD-A2ED-C43E9ACECCE2}" name="Category" dataDxfId="174"/>
    <tableColumn id="5" xr3:uid="{B0DC3548-A9AA-420A-8564-5F10AFE241CF}" name="Type" dataDxfId="173">
      <calculatedColumnFormula>_xlfn.XLOOKUP(Operations[[#This Row],[Category]],Categories[Category],Categories[Type],"",0,1)</calculatedColumnFormula>
    </tableColumn>
    <tableColumn id="6" xr3:uid="{2C72B247-1CFD-44D6-BDA9-F9D0BB401FA1}" name="Date" dataDxfId="172"/>
    <tableColumn id="7" xr3:uid="{4E65CCC6-D609-484D-A68A-DC8E888AFEE9}" name="Month" dataDxfId="171">
      <calculatedColumnFormula>MONTH(Operations[[#This Row],[Date]])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7ACDEBB-43DE-441E-A869-822A184DBC9E}" name="Summary1" displayName="Summary1" ref="A1:O18" totalsRowShown="0">
  <autoFilter ref="A1:O18" xr:uid="{E7ACDEBB-43DE-441E-A869-822A184DBC9E}"/>
  <tableColumns count="15">
    <tableColumn id="1" xr3:uid="{E2E84203-9997-4E4A-95FE-84E81FC5A360}" name="Category"/>
    <tableColumn id="2" xr3:uid="{4FC60F08-5477-446D-8BA6-C9BCD98ACE32}" name="Type"/>
    <tableColumn id="3" xr3:uid="{FD7BDBAA-7124-44B3-89FA-1CD807EC58C6}" name="1" dataDxfId="170">
      <calculatedColumnFormula>SUMIFS(Operations[[Amount]:[Amount]],Operations[[Category]:[Category]],Summary1[[#This Row],[Category]],Operations[[Month]:[Month]],Summary1[[#Headers],[1]])</calculatedColumnFormula>
    </tableColumn>
    <tableColumn id="4" xr3:uid="{61B42F24-D8B4-486D-A397-4E935F1BBC3D}" name="2" dataDxfId="169"/>
    <tableColumn id="5" xr3:uid="{FB0607B0-051D-4D67-9881-697A810B8046}" name="3" dataDxfId="168"/>
    <tableColumn id="6" xr3:uid="{B6AC92EC-994E-4478-B910-DEAE91B73997}" name="4" dataDxfId="167"/>
    <tableColumn id="7" xr3:uid="{C675D1AF-6793-4213-B49A-2F437C86B732}" name="5" dataDxfId="166"/>
    <tableColumn id="8" xr3:uid="{37BB5625-A409-4EEA-B32C-EBFEE3F81A95}" name="6" dataDxfId="165"/>
    <tableColumn id="9" xr3:uid="{7574917C-50D3-4683-9F27-22CCBC745DD9}" name="7" dataDxfId="164"/>
    <tableColumn id="10" xr3:uid="{63753C13-58D7-4B72-AAE5-108E3A95A211}" name="8" dataDxfId="163"/>
    <tableColumn id="11" xr3:uid="{6140636D-E8DA-4BA5-930D-D479FE415048}" name="9" dataDxfId="162"/>
    <tableColumn id="12" xr3:uid="{04886CDF-1B3C-4207-ACBB-D7FFC9A19FC5}" name="10" dataDxfId="161"/>
    <tableColumn id="13" xr3:uid="{EC7D4B8D-346C-41A7-9E5D-5A220BD89302}" name="11" dataDxfId="160"/>
    <tableColumn id="14" xr3:uid="{31FC54B0-961A-42AD-A98E-046772BB29A6}" name="12" dataDxfId="159"/>
    <tableColumn id="15" xr3:uid="{CA0501C3-7702-4694-96FA-A0455D2C345E}" name="Total" dataDxfId="15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2A9F5CF9-501B-4A18-B7C2-4A41BB4C1195}" name="Summary2" displayName="Summary2" ref="A1:O22" totalsRowShown="0">
  <autoFilter ref="A1:O22" xr:uid="{2A9F5CF9-501B-4A18-B7C2-4A41BB4C1195}"/>
  <tableColumns count="15">
    <tableColumn id="1" xr3:uid="{2A7A44DD-0243-483C-8D71-EF35541223C4}" name="Category"/>
    <tableColumn id="2" xr3:uid="{329709AF-96B4-4E4E-921C-715B4ED760C5}" name="Type" dataDxfId="157"/>
    <tableColumn id="3" xr3:uid="{4C4B455C-A8A5-4B88-B30F-EA8F23FF7DF3}" name="1" dataDxfId="156"/>
    <tableColumn id="4" xr3:uid="{63B4A530-7B62-454D-A1AE-CD5750454DB1}" name="2" dataDxfId="155"/>
    <tableColumn id="5" xr3:uid="{26B777D3-34E2-43C1-B33B-BCFE035193CA}" name="3" dataDxfId="154"/>
    <tableColumn id="6" xr3:uid="{C939EF89-B6E5-43A3-B48A-AB7A49BC1861}" name="4" dataDxfId="153"/>
    <tableColumn id="7" xr3:uid="{59785B81-06DF-4DE2-B7F9-E6B751F4D4E2}" name="5" dataDxfId="152"/>
    <tableColumn id="8" xr3:uid="{1AF3C88D-6B73-451D-A295-95C45DC3FCDD}" name="6" dataDxfId="151"/>
    <tableColumn id="9" xr3:uid="{4BBC7B09-D51B-48D2-80AC-13303EFAAD38}" name="7" dataDxfId="150"/>
    <tableColumn id="10" xr3:uid="{35D08700-5DC4-468F-A977-C32C00F971DE}" name="8" dataDxfId="149"/>
    <tableColumn id="11" xr3:uid="{474FCF26-CE36-4B0E-B400-23F3E0CABDA7}" name="9" dataDxfId="148"/>
    <tableColumn id="12" xr3:uid="{2CBD08BB-3E46-4FD4-9E5F-2F6AE5BDD60C}" name="10" dataDxfId="147"/>
    <tableColumn id="13" xr3:uid="{FD46BA34-217C-4460-A205-C481F2B2188B}" name="11" dataDxfId="146"/>
    <tableColumn id="14" xr3:uid="{6BC1D7F0-5A54-4BC1-8592-F3A8F6D15D36}" name="12" dataDxfId="145"/>
    <tableColumn id="15" xr3:uid="{A216DF12-DE54-478F-A059-B74D810ECD06}" name="Total" dataDxfId="144"/>
  </tableColumns>
  <tableStyleInfo name="TableStyleMedium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1F1933-ED27-4BBD-BAEF-F39A6726BF59}" name="Flow_1" displayName="Flow_1" ref="A1:E9" totalsRowCount="1">
  <autoFilter ref="A1:E8" xr:uid="{381F1933-ED27-4BBD-BAEF-F39A6726BF59}"/>
  <tableColumns count="5">
    <tableColumn id="1" xr3:uid="{E7E3BC2B-8E5B-4DCF-9792-9EDC6A9115F0}" name="Bank" totalsRowLabel="Total"/>
    <tableColumn id="2" xr3:uid="{9BAC6843-3967-4474-904C-31C3452A0E5B}" name="Product"/>
    <tableColumn id="3" xr3:uid="{16E01883-6F8E-4445-8B78-57C259DEA7CE}" name="Opening balance" totalsRowFunction="sum" dataDxfId="143" totalsRowDxfId="142"/>
    <tableColumn id="4" xr3:uid="{9D1EDDB0-DB9B-4F41-B436-818BA1610106}" name="Operations" totalsRowFunction="sum" dataDxfId="141" totalsRowDxfId="140">
      <calculatedColumnFormula>SUMIFS(Operations[Amount],Operations[Bank],Flow_1[[#This Row],[Bank]],Operations[Product],Flow_1[[#This Row],[Product]],Operations[Month],$B$11)</calculatedColumnFormula>
    </tableColumn>
    <tableColumn id="5" xr3:uid="{297DDB4B-508B-45B7-8141-92628508C809}" name="Closing balance" totalsRowFunction="sum" dataDxfId="139" totalsRowDxfId="138">
      <calculatedColumnFormula>Flow_1[[#This Row],[Opening balance]]+Flow_1[[#This Row],[Operations]]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29CBFC6-329D-45E3-A413-7BBD69571EA0}" name="Incomes_1" displayName="Incomes_1" ref="G1:H8" totalsRowCount="1">
  <autoFilter ref="G1:H7" xr:uid="{D29CBFC6-329D-45E3-A413-7BBD69571EA0}"/>
  <tableColumns count="2">
    <tableColumn id="1" xr3:uid="{90F215AD-BB0D-461B-BB3D-1745CDE5C3A5}" name="Category" totalsRowLabel="Total"/>
    <tableColumn id="2" xr3:uid="{23D1DA95-5D64-4D8C-9A0A-D3873F670E68}" name="Total" totalsRowFunction="sum" dataDxfId="137" totalsRowDxfId="136">
      <calculatedColumnFormula>SUMIFS(Operations[Amount],Operations[Month],$B$11,Operations[Category],Incomes_1[[#This Row],[Category]])</calculatedColumnFormula>
    </tableColumn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3B6B1F-E3BA-4CE0-8D25-D7AD130F2A3B}" name="Expenses_1" displayName="Expenses_1" ref="J1:K11" totalsRowCount="1">
  <autoFilter ref="J1:K10" xr:uid="{2A3B6B1F-E3BA-4CE0-8D25-D7AD130F2A3B}"/>
  <tableColumns count="2">
    <tableColumn id="1" xr3:uid="{E9250E98-10CC-4119-8C9D-4AF6DE17BA07}" name="Category" totalsRowLabel="Total"/>
    <tableColumn id="2" xr3:uid="{01CA25C2-92E4-4440-8AC8-EC2517E433DC}" name="Total" totalsRowFunction="sum" dataDxfId="135" totalsRowDxfId="134">
      <calculatedColumnFormula>SUMIFS(Operations[Amount],Operations[Month],$B$11,Operations[Category],Expenses_1[[#This Row],[Category]])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2B31EB4-3FF0-4AF1-A678-A4242AB5967C}" name="Balance_1" displayName="Balance_1" ref="A13:B17" totalsRowCount="1">
  <autoFilter ref="A13:B16" xr:uid="{32B31EB4-3FF0-4AF1-A678-A4242AB5967C}"/>
  <tableColumns count="2">
    <tableColumn id="1" xr3:uid="{70359341-E94D-43B0-90DE-7D19D1A12C52}" name="Type" totalsRowLabel="Total"/>
    <tableColumn id="2" xr3:uid="{E64C743C-C0AD-49A4-8806-312C77609F56}" name="Total" totalsRowFunction="sum" dataDxfId="133" totalsRowDxfId="132">
      <calculatedColumnFormula>SUMIFS(Operations[Amount],Operations[Month],$B$11,Operations[Type],Balance_1[[#This Row],[Type]])</calculatedColumnFormula>
    </tableColumn>
  </tableColumns>
  <tableStyleInfo name="TableStyleMedium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F344B1-87D4-44AC-A3BE-2B046E57093E}" name="Flow_2" displayName="Flow_2" ref="A1:E9" totalsRowCount="1">
  <autoFilter ref="A1:E8" xr:uid="{381F1933-ED27-4BBD-BAEF-F39A6726BF59}"/>
  <tableColumns count="5">
    <tableColumn id="1" xr3:uid="{AEAEF603-D8AE-40FA-8125-5055B3DA8E58}" name="Bank" totalsRowLabel="Total"/>
    <tableColumn id="2" xr3:uid="{25F7F121-D723-4BC6-B547-9541A2F22DA6}" name="Product"/>
    <tableColumn id="3" xr3:uid="{30C01A2E-B506-4CDB-97E2-682B9DFD8C83}" name="Opening balance" totalsRowFunction="sum" dataDxfId="131" totalsRowDxfId="130">
      <calculatedColumnFormula>INDIRECT("Flow_"&amp;$B$11-1&amp;"[@[Closing balance]]")</calculatedColumnFormula>
    </tableColumn>
    <tableColumn id="4" xr3:uid="{4E664557-46C8-4C22-9D4C-88B0563D166B}" name="Operations" totalsRowFunction="sum" dataDxfId="129" totalsRowDxfId="128">
      <calculatedColumnFormula>SUMIFS(Operations[Amount],Operations[Bank],Flow_2[[#This Row],[Bank]],Operations[Product],Flow_2[[#This Row],[Product]],Operations[Month],$B$11)</calculatedColumnFormula>
    </tableColumn>
    <tableColumn id="5" xr3:uid="{FC15A768-7845-4D5D-9CDB-3D75B47EA83B}" name="Closing balance" totalsRowFunction="sum" dataDxfId="127" totalsRowDxfId="126">
      <calculatedColumnFormula>Flow_2[[#This Row],[Opening balance]]+Flow_2[[#This Row],[Operations]]</calculatedColumnFormula>
    </tableColumn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D02D31-B3F3-49E0-A062-39E0D00055AB}" name="Incomes_2" displayName="Incomes_2" ref="G1:H8" totalsRowCount="1">
  <autoFilter ref="G1:H7" xr:uid="{D29CBFC6-329D-45E3-A413-7BBD69571EA0}"/>
  <tableColumns count="2">
    <tableColumn id="1" xr3:uid="{4356D86A-8240-4262-B4EC-F22E39311B11}" name="Category" totalsRowLabel="Total"/>
    <tableColumn id="2" xr3:uid="{17428B4D-C830-4542-849A-AA3BBDD3BF42}" name="Total" totalsRowFunction="sum" dataDxfId="125" totalsRowDxfId="124">
      <calculatedColumnFormula>SUMIFS(Operations[Amount],Operations[Month],$B$11,Operations[Category],Incomes_2[[#This Row],[Category]])</calculatedColumnFormula>
    </tableColumn>
  </tableColumns>
  <tableStyleInfo name="TableStyleMedium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CFE500-E56E-4EAB-BC75-1B14243FF433}" name="Expenses_2" displayName="Expenses_2" ref="J1:K11" totalsRowCount="1">
  <autoFilter ref="J1:K10" xr:uid="{2A3B6B1F-E3BA-4CE0-8D25-D7AD130F2A3B}"/>
  <tableColumns count="2">
    <tableColumn id="1" xr3:uid="{89AD3A85-A370-4655-85F7-4AA9905BFE75}" name="Category" totalsRowLabel="Total"/>
    <tableColumn id="2" xr3:uid="{86D31687-73AF-4BFA-B984-10E72CD747A9}" name="Total" totalsRowFunction="sum" dataDxfId="123" totalsRowDxfId="122">
      <calculatedColumnFormula>SUMIFS(Operations[Amount],Operations[Month],$B$11,Operations[Category],Expenses_2[[#This Row],[Category]])</calculatedColumnFormula>
    </tableColumn>
  </tableColumns>
  <tableStyleInfo name="TableStyleMedium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5729668-8907-4F61-AACE-3128962749B9}" name="Balance_2" displayName="Balance_2" ref="A13:B17" totalsRowCount="1">
  <autoFilter ref="A13:B16" xr:uid="{32B31EB4-3FF0-4AF1-A678-A4242AB5967C}"/>
  <tableColumns count="2">
    <tableColumn id="1" xr3:uid="{6B44F5DB-C669-4991-BBED-13FEB244E1D0}" name="Type" totalsRowLabel="Total"/>
    <tableColumn id="2" xr3:uid="{79A97BCD-DFDF-4B50-84E2-4AF3E80A0899}" name="Total" totalsRowFunction="sum" dataDxfId="121" totalsRowDxfId="120">
      <calculatedColumnFormula>SUMIFS(Operations[Amount],Operations[Month],$B$11,Operations[Type],Balance_2[[#This Row],[Type]])</calculatedColumnFormula>
    </tableColumn>
  </tableColumns>
  <tableStyleInfo name="TableStyleMedium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95DE605-561B-4584-B954-FCDFFB275DB8}" name="Flow_3" displayName="Flow_3" ref="A1:E9" totalsRowCount="1">
  <autoFilter ref="A1:E8" xr:uid="{381F1933-ED27-4BBD-BAEF-F39A6726BF59}"/>
  <tableColumns count="5">
    <tableColumn id="1" xr3:uid="{80574732-3B54-4DC9-9978-DE3B97C9C0C8}" name="Bank" totalsRowLabel="Total"/>
    <tableColumn id="2" xr3:uid="{08246C47-E4DF-4EDB-9DA2-8FCBE4012079}" name="Product"/>
    <tableColumn id="3" xr3:uid="{A5306C7C-22D1-419E-B753-3ADACBEAB147}" name="Opening balance" totalsRowFunction="sum" dataDxfId="119" totalsRowDxfId="118">
      <calculatedColumnFormula>INDIRECT("Flow_"&amp;$B$11-1&amp;"[@[Closing balance]]")</calculatedColumnFormula>
    </tableColumn>
    <tableColumn id="4" xr3:uid="{4C9402C5-DBCD-4F7C-BED7-C92AA3B3F5CA}" name="Operations" totalsRowFunction="sum" dataDxfId="117" totalsRowDxfId="116">
      <calculatedColumnFormula>SUMIFS(Operations[Amount],Operations[Bank],Flow_3[[#This Row],[Bank]],Operations[Product],Flow_3[[#This Row],[Product]],Operations[Month],$B$11)</calculatedColumnFormula>
    </tableColumn>
    <tableColumn id="5" xr3:uid="{3FA16684-117C-4611-9D46-F54CAEB34DEE}" name="Closing balance" totalsRowFunction="sum" dataDxfId="115" totalsRowDxfId="114">
      <calculatedColumnFormula>Flow_3[[#This Row],[Opening balance]]+Flow_3[[#This Row],[Operations]]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1DE95F-DAEC-4A3D-89B2-F8ABB8145EDB}" name="Incomes_3" displayName="Incomes_3" ref="G1:H8" totalsRowCount="1">
  <autoFilter ref="G1:H7" xr:uid="{D29CBFC6-329D-45E3-A413-7BBD69571EA0}"/>
  <tableColumns count="2">
    <tableColumn id="1" xr3:uid="{FD86917B-BFB6-4BB9-9C3E-1B2DCC2C72C8}" name="Category" totalsRowLabel="Total"/>
    <tableColumn id="2" xr3:uid="{F422064F-AC32-4F8B-8D51-596D85C93BC2}" name="Total" totalsRowFunction="sum" dataDxfId="113" totalsRowDxfId="112">
      <calculatedColumnFormula>SUMIFS(Operations[Amount],Operations[Month],$B$11,Operations[Category],Incomes_3[[#This Row],[Category]])</calculatedColumnFormula>
    </tableColumn>
  </tableColumns>
  <tableStyleInfo name="TableStyleMedium13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4DE2F6C-488F-4240-8F1A-2A6E9066B7CE}" name="Expenses_3" displayName="Expenses_3" ref="J1:K11" totalsRowCount="1">
  <autoFilter ref="J1:K10" xr:uid="{2A3B6B1F-E3BA-4CE0-8D25-D7AD130F2A3B}"/>
  <tableColumns count="2">
    <tableColumn id="1" xr3:uid="{189B7570-FFEF-4A46-923D-7A25D8977D26}" name="Category" totalsRowLabel="Total"/>
    <tableColumn id="2" xr3:uid="{6622E057-9AEE-4966-8DDE-7EDDBDB55A5F}" name="Total" totalsRowFunction="sum" dataDxfId="111" totalsRowDxfId="110">
      <calculatedColumnFormula>SUMIFS(Operations[Amount],Operations[Month],$B$11,Operations[Category],Expenses_3[[#This Row],[Category]])</calculatedColumnFormula>
    </tableColumn>
  </tableColumns>
  <tableStyleInfo name="TableStyleMedium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574200-7A61-486A-88FF-89239C9B586F}" name="Balance_3" displayName="Balance_3" ref="A13:B17" totalsRowCount="1">
  <autoFilter ref="A13:B16" xr:uid="{32B31EB4-3FF0-4AF1-A678-A4242AB5967C}"/>
  <tableColumns count="2">
    <tableColumn id="1" xr3:uid="{E908BF41-AD54-41A1-A459-744B5A3D22A3}" name="Type" totalsRowLabel="Total"/>
    <tableColumn id="2" xr3:uid="{42FE5736-0DC7-49D5-AE35-517162640C71}" name="Total" totalsRowFunction="sum" dataDxfId="109" totalsRowDxfId="108">
      <calculatedColumnFormula>SUMIFS(Operations[Amount],Operations[Month],$B$11,Operations[Type],Balance_3[[#This Row],[Type]])</calculatedColumnFormula>
    </tableColumn>
  </tableColumns>
  <tableStyleInfo name="TableStyleMedium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B3DC5E2-B5EB-4DBB-BE4C-D57F69C405D4}" name="Flow_4" displayName="Flow_4" ref="A1:E9" totalsRowCount="1">
  <autoFilter ref="A1:E8" xr:uid="{381F1933-ED27-4BBD-BAEF-F39A6726BF59}"/>
  <tableColumns count="5">
    <tableColumn id="1" xr3:uid="{8D82DF44-066F-41AA-8C51-A300547A37B9}" name="Bank" totalsRowLabel="Total"/>
    <tableColumn id="2" xr3:uid="{5D0F9582-5177-466A-88F4-7D7D22B5ED96}" name="Product"/>
    <tableColumn id="3" xr3:uid="{8061645F-D2BA-4309-8CC2-5FAF0F5C9D05}" name="Opening balance" totalsRowFunction="sum" dataDxfId="107" totalsRowDxfId="106">
      <calculatedColumnFormula>INDIRECT("Flow_"&amp;$B$11-1&amp;"[@[Closing balance]]")</calculatedColumnFormula>
    </tableColumn>
    <tableColumn id="4" xr3:uid="{D423C1C6-7C9D-44F9-913D-EABE9F0E23D9}" name="Operations" totalsRowFunction="sum" dataDxfId="105" totalsRowDxfId="104">
      <calculatedColumnFormula>SUMIFS(Operations[Amount],Operations[Bank],Flow_4[[#This Row],[Bank]],Operations[Product],Flow_4[[#This Row],[Product]],Operations[Month],$B$11)</calculatedColumnFormula>
    </tableColumn>
    <tableColumn id="5" xr3:uid="{7ED93D91-6EF7-43AD-BB26-D0672B592716}" name="Closing balance" totalsRowFunction="sum" dataDxfId="103" totalsRowDxfId="102">
      <calculatedColumnFormula>Flow_4[[#This Row],[Opening balance]]+Flow_4[[#This Row],[Operations]]</calculatedColumnFormula>
    </tableColumn>
  </tableColumns>
  <tableStyleInfo name="TableStyleMedium1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55A289-C89D-4F6A-B794-83A47B3384CB}" name="Incomes_4" displayName="Incomes_4" ref="G1:H8" totalsRowCount="1">
  <autoFilter ref="G1:H7" xr:uid="{D29CBFC6-329D-45E3-A413-7BBD69571EA0}"/>
  <tableColumns count="2">
    <tableColumn id="1" xr3:uid="{38A83CA7-AA70-4266-945A-60A55103BA0A}" name="Category" totalsRowLabel="Total"/>
    <tableColumn id="2" xr3:uid="{C2BC4586-9479-4D86-A65C-DA3925C3CAD1}" name="Total" totalsRowFunction="sum" dataDxfId="101" totalsRowDxfId="100">
      <calculatedColumnFormula>SUMIFS(Operations[Amount],Operations[Month],$B$11,Operations[Category],Incomes_4[[#This Row],[Category]])</calculatedColumnFormula>
    </tableColumn>
  </tableColumns>
  <tableStyleInfo name="TableStyleMedium13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F36CB8A-17D7-4A63-8A0A-61A502910738}" name="Expenses_4" displayName="Expenses_4" ref="J1:K11" totalsRowCount="1">
  <autoFilter ref="J1:K10" xr:uid="{2A3B6B1F-E3BA-4CE0-8D25-D7AD130F2A3B}"/>
  <tableColumns count="2">
    <tableColumn id="1" xr3:uid="{44936E93-CF20-4FF4-85C9-A7CF6CE26051}" name="Category" totalsRowLabel="Total"/>
    <tableColumn id="2" xr3:uid="{581A1CA5-AB39-499F-B113-20BA49BFD25D}" name="Total" totalsRowFunction="sum" dataDxfId="99" totalsRowDxfId="98">
      <calculatedColumnFormula>SUMIFS(Operations[Amount],Operations[Month],$B$11,Operations[Category],Expenses_4[[#This Row],[Category]])</calculatedColumnFormula>
    </tableColumn>
  </tableColumns>
  <tableStyleInfo name="TableStyleMedium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E92A2BD-58F9-43F3-A263-0F1DF0279818}" name="Balance_4" displayName="Balance_4" ref="A13:B17" totalsRowCount="1">
  <autoFilter ref="A13:B16" xr:uid="{32B31EB4-3FF0-4AF1-A678-A4242AB5967C}"/>
  <tableColumns count="2">
    <tableColumn id="1" xr3:uid="{62C36601-0F9D-4489-8094-5EFC617790A3}" name="Type" totalsRowLabel="Total"/>
    <tableColumn id="2" xr3:uid="{99F61879-A73A-4918-B8C9-DFDEB52265BF}" name="Total" totalsRowFunction="sum" dataDxfId="97" totalsRowDxfId="96">
      <calculatedColumnFormula>SUMIFS(Operations[Amount],Operations[Month],$B$11,Operations[Type],Balance_4[[#This Row],[Type]])</calculatedColumnFormula>
    </tableColumn>
  </tableColumns>
  <tableStyleInfo name="TableStyleMedium1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666AC2-96AA-4DA2-9157-ED65D165C61A}" name="Flow_5" displayName="Flow_5" ref="A1:E9" totalsRowCount="1">
  <autoFilter ref="A1:E8" xr:uid="{381F1933-ED27-4BBD-BAEF-F39A6726BF59}"/>
  <tableColumns count="5">
    <tableColumn id="1" xr3:uid="{16298923-C8DE-4D6B-9AE5-48B4699723B9}" name="Bank" totalsRowLabel="Total"/>
    <tableColumn id="2" xr3:uid="{8D9F1F5A-FE8B-4523-8070-A3313388ED3F}" name="Product"/>
    <tableColumn id="3" xr3:uid="{622CAD8B-194F-48E7-BB3D-56D0CB06CCA3}" name="Opening balance" totalsRowFunction="sum" dataDxfId="95" totalsRowDxfId="94">
      <calculatedColumnFormula>INDIRECT("Flow_"&amp;$B$11-1&amp;"[@[Closing balance]]")</calculatedColumnFormula>
    </tableColumn>
    <tableColumn id="4" xr3:uid="{DA586DD1-8146-4ECD-8217-3F96FA355283}" name="Operations" totalsRowFunction="sum" dataDxfId="93" totalsRowDxfId="92">
      <calculatedColumnFormula>SUMIFS(Operations[Amount],Operations[Bank],Flow_5[[#This Row],[Bank]],Operations[Product],Flow_5[[#This Row],[Product]],Operations[Month],$B$11)</calculatedColumnFormula>
    </tableColumn>
    <tableColumn id="5" xr3:uid="{84A0789A-0176-4759-8A9C-EE03BD2A245C}" name="Closing balance" totalsRowFunction="sum" dataDxfId="91" totalsRowDxfId="90">
      <calculatedColumnFormula>Flow_5[[#This Row],[Opening balance]]+Flow_5[[#This Row],[Operations]]</calculatedColumnFormula>
    </tableColumn>
  </tableColumns>
  <tableStyleInfo name="TableStyleMedium14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68655FA-166D-4CCD-A503-11533DFBBD2A}" name="Incomes_5" displayName="Incomes_5" ref="G1:H8" totalsRowCount="1">
  <autoFilter ref="G1:H7" xr:uid="{D29CBFC6-329D-45E3-A413-7BBD69571EA0}"/>
  <tableColumns count="2">
    <tableColumn id="1" xr3:uid="{9B45F115-0B9D-4C42-8A62-B0FB4D83FE83}" name="Category" totalsRowLabel="Total"/>
    <tableColumn id="2" xr3:uid="{C264E449-4EA7-4309-8E36-373DCE8B49AF}" name="Total" totalsRowFunction="sum" dataDxfId="89" totalsRowDxfId="88">
      <calculatedColumnFormula>SUMIFS(Operations[Amount],Operations[Month],$B$11,Operations[Category],Incomes_5[[#This Row],[Category]])</calculatedColumnFormula>
    </tableColumn>
  </tableColumns>
  <tableStyleInfo name="TableStyleMedium13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8C1FB-D00C-4EFF-9114-0A2F17BC37E8}" name="Expenses_5" displayName="Expenses_5" ref="J1:K11" totalsRowCount="1">
  <autoFilter ref="J1:K10" xr:uid="{2A3B6B1F-E3BA-4CE0-8D25-D7AD130F2A3B}"/>
  <tableColumns count="2">
    <tableColumn id="1" xr3:uid="{E7C07B3A-64E2-4B0F-96D7-FEEB83682D71}" name="Category" totalsRowLabel="Total"/>
    <tableColumn id="2" xr3:uid="{1AAB5B71-8CAD-4A8A-9E7F-D8AD4ACE455E}" name="Total" totalsRowFunction="sum" dataDxfId="87" totalsRowDxfId="86">
      <calculatedColumnFormula>SUMIFS(Operations[Amount],Operations[Month],$B$11,Operations[Category],Expenses_5[[#This Row],[Category]])</calculatedColumnFormula>
    </tableColumn>
  </tableColumns>
  <tableStyleInfo name="TableStyleMedium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01D065B-D98A-430A-B974-9302BF0B1857}" name="Balance_5" displayName="Balance_5" ref="A13:B17" totalsRowCount="1">
  <autoFilter ref="A13:B16" xr:uid="{32B31EB4-3FF0-4AF1-A678-A4242AB5967C}"/>
  <tableColumns count="2">
    <tableColumn id="1" xr3:uid="{6D6F90DA-DCD7-456D-BE17-F38353DF358B}" name="Type" totalsRowLabel="Total"/>
    <tableColumn id="2" xr3:uid="{1A01D3F5-CFD4-40D9-AC51-5082A68682D3}" name="Total" totalsRowFunction="sum" dataDxfId="85" totalsRowDxfId="84">
      <calculatedColumnFormula>SUMIFS(Operations[Amount],Operations[Month],$B$11,Operations[Type],Balance_5[[#This Row],[Type]])</calculatedColumnFormula>
    </tableColumn>
  </tableColumns>
  <tableStyleInfo name="TableStyleMedium1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912D383-F47B-4C81-AAA2-A28C1A9FF704}" name="Flow_6" displayName="Flow_6" ref="A1:E9" totalsRowCount="1">
  <autoFilter ref="A1:E8" xr:uid="{381F1933-ED27-4BBD-BAEF-F39A6726BF59}"/>
  <tableColumns count="5">
    <tableColumn id="1" xr3:uid="{E4C7A7AA-38D4-41B9-9B76-C9C3A183FA2E}" name="Bank" totalsRowLabel="Total"/>
    <tableColumn id="2" xr3:uid="{9735A579-F0E2-4ED0-8D9B-26AFCEE644AA}" name="Product"/>
    <tableColumn id="3" xr3:uid="{2C77E7FA-85A5-49FA-B148-2AAC6C46FE59}" name="Opening balance" totalsRowFunction="sum" dataDxfId="83" totalsRowDxfId="82">
      <calculatedColumnFormula array="1">INDIRECT("Flow_"&amp;$B$11-1&amp;"[@[Closing balance]]")</calculatedColumnFormula>
    </tableColumn>
    <tableColumn id="4" xr3:uid="{BD586AC1-E344-4ED5-AB1E-87DA066AA905}" name="Operations" totalsRowFunction="sum" dataDxfId="81" totalsRowDxfId="80">
      <calculatedColumnFormula>SUMIFS(Operations[Amount],Operations[Bank],Flow_6[[#This Row],[Bank]],Operations[Product],Flow_6[[#This Row],[Product]],Operations[Month],$B$11)</calculatedColumnFormula>
    </tableColumn>
    <tableColumn id="5" xr3:uid="{D8C75FDA-FC2A-4D55-BF7B-AD9AA9D8E87B}" name="Closing balance" totalsRowFunction="sum" dataDxfId="79" totalsRowDxfId="78">
      <calculatedColumnFormula>Flow_6[[#This Row],[Opening balance]]+Flow_6[[#This Row],[Operations]]</calculatedColumnFormula>
    </tableColumn>
  </tableColumns>
  <tableStyleInfo name="TableStyleMedium14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BF7D1CE-ED2C-4186-B3E5-8A59AD862C69}" name="Incomes_6" displayName="Incomes_6" ref="G1:H8" totalsRowCount="1">
  <autoFilter ref="G1:H7" xr:uid="{D29CBFC6-329D-45E3-A413-7BBD69571EA0}"/>
  <tableColumns count="2">
    <tableColumn id="1" xr3:uid="{CF75EB43-D7D0-4243-9BDD-ED5A5B55EFE3}" name="Category" totalsRowLabel="Total"/>
    <tableColumn id="2" xr3:uid="{058E4079-3181-4741-BDC2-26863BFD41AD}" name="Total" totalsRowFunction="sum" dataDxfId="77" totalsRowDxfId="76">
      <calculatedColumnFormula>SUMIFS(Operations[Amount],Operations[Month],$B$11,Operations[Category],Incomes_6[[#This Row],[Category]])</calculatedColumnFormula>
    </tableColumn>
  </tableColumns>
  <tableStyleInfo name="TableStyleMedium1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982EB43-8C22-41E6-BA95-454F8F81E9F7}" name="Expenses_6" displayName="Expenses_6" ref="J1:K11" totalsRowCount="1">
  <autoFilter ref="J1:K10" xr:uid="{2A3B6B1F-E3BA-4CE0-8D25-D7AD130F2A3B}"/>
  <tableColumns count="2">
    <tableColumn id="1" xr3:uid="{E76C068E-336D-4F88-BA63-D731E031FBA8}" name="Category" totalsRowLabel="Total"/>
    <tableColumn id="2" xr3:uid="{1A00EA84-1CD7-4F6C-9CBC-014EB099B9A3}" name="Total" totalsRowFunction="sum" dataDxfId="75" totalsRowDxfId="74">
      <calculatedColumnFormula>SUMIFS(Operations[Amount],Operations[Month],$B$11,Operations[Category],Expenses_6[[#This Row],[Category]])</calculatedColumnFormula>
    </tableColumn>
  </tableColumns>
  <tableStyleInfo name="TableStyleMedium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73FFE14-F5AC-4EF0-8D9B-E8802D157EBA}" name="Balance_6" displayName="Balance_6" ref="A13:B17" totalsRowCount="1">
  <autoFilter ref="A13:B16" xr:uid="{32B31EB4-3FF0-4AF1-A678-A4242AB5967C}"/>
  <tableColumns count="2">
    <tableColumn id="1" xr3:uid="{CB4281A3-B69B-4B55-9B99-DDA8DA6EF498}" name="Type" totalsRowLabel="Total"/>
    <tableColumn id="2" xr3:uid="{53AAC524-0FA9-4551-847E-B80503440E1A}" name="Total" totalsRowFunction="sum" dataDxfId="73" totalsRowDxfId="72">
      <calculatedColumnFormula>SUMIFS(Operations[Amount],Operations[Month],$B$11,Operations[Type],Balance_6[[#This Row],[Type]])</calculatedColumnFormula>
    </tableColumn>
  </tableColumns>
  <tableStyleInfo name="TableStyleMedium1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500FA8E1-5F9D-4A6A-AD88-52A7592699F3}" name="Flow_7" displayName="Flow_7" ref="A1:E9" totalsRowCount="1">
  <autoFilter ref="A1:E8" xr:uid="{381F1933-ED27-4BBD-BAEF-F39A6726BF59}"/>
  <tableColumns count="5">
    <tableColumn id="1" xr3:uid="{4DFADD8D-A1DB-445F-AF75-FDD501B0C359}" name="Bank" totalsRowLabel="Total"/>
    <tableColumn id="2" xr3:uid="{21182284-356B-43B5-B1F5-B94306D14C5E}" name="Product"/>
    <tableColumn id="3" xr3:uid="{6E54349A-3402-41DC-8322-E22C48D915C3}" name="Opening balance" totalsRowFunction="sum" dataDxfId="71" totalsRowDxfId="70">
      <calculatedColumnFormula array="1">INDIRECT("Flow_"&amp;$B$11-1&amp;"[@[Closing balance]]")</calculatedColumnFormula>
    </tableColumn>
    <tableColumn id="4" xr3:uid="{49475104-E610-450E-BCDF-D8115BE100AD}" name="Operations" totalsRowFunction="sum" dataDxfId="69" totalsRowDxfId="68">
      <calculatedColumnFormula>SUMIFS(Operations[Amount],Operations[Bank],Flow_7[[#This Row],[Bank]],Operations[Product],Flow_7[[#This Row],[Product]],Operations[Month],$B$11)</calculatedColumnFormula>
    </tableColumn>
    <tableColumn id="5" xr3:uid="{E959CD0C-1D5D-4141-97DF-FB01FE87352F}" name="Closing balance" totalsRowFunction="sum" dataDxfId="67" totalsRowDxfId="66">
      <calculatedColumnFormula>Flow_7[[#This Row],[Opening balance]]+Flow_7[[#This Row],[Operations]]</calculatedColumnFormula>
    </tableColumn>
  </tableColumns>
  <tableStyleInfo name="TableStyleMedium14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32CA841-2F78-4C58-8ACA-C4EAE91B07E3}" name="Incomes_7" displayName="Incomes_7" ref="G1:H8" totalsRowCount="1">
  <autoFilter ref="G1:H7" xr:uid="{D29CBFC6-329D-45E3-A413-7BBD69571EA0}"/>
  <tableColumns count="2">
    <tableColumn id="1" xr3:uid="{3D55747D-D4B1-4973-BA1E-6F3A37528D8A}" name="Category" totalsRowLabel="Total"/>
    <tableColumn id="2" xr3:uid="{56FA1A0D-A831-419B-A91E-1BD6F3FA22B1}" name="Total" totalsRowFunction="sum" dataDxfId="65" totalsRowDxfId="64">
      <calculatedColumnFormula>SUMIFS(Operations[Amount],Operations[Month],$B$11,Operations[Category],Incomes_7[[#This Row],[Category]])</calculatedColumnFormula>
    </tableColumn>
  </tableColumns>
  <tableStyleInfo name="TableStyleMedium13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0ECBD21-5128-4208-A291-806DA910AAEF}" name="Expenses_7" displayName="Expenses_7" ref="J1:K11" totalsRowCount="1">
  <autoFilter ref="J1:K10" xr:uid="{2A3B6B1F-E3BA-4CE0-8D25-D7AD130F2A3B}"/>
  <tableColumns count="2">
    <tableColumn id="1" xr3:uid="{26AE47C1-813B-4E17-BBE1-C26AA25F4501}" name="Category" totalsRowLabel="Total"/>
    <tableColumn id="2" xr3:uid="{41D76E35-C68F-49D3-B4E7-9925DE4E7500}" name="Total" totalsRowFunction="sum" dataDxfId="63" totalsRowDxfId="62">
      <calculatedColumnFormula>SUMIFS(Operations[Amount],Operations[Month],$B$11,Operations[Category],Expenses_7[[#This Row],[Category]])</calculatedColumnFormula>
    </tableColumn>
  </tableColumns>
  <tableStyleInfo name="TableStyleMedium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E6629943-D2E1-4F8C-AC2F-9DC8A92F8C64}" name="Balance_7" displayName="Balance_7" ref="A13:B17" totalsRowCount="1">
  <autoFilter ref="A13:B16" xr:uid="{32B31EB4-3FF0-4AF1-A678-A4242AB5967C}"/>
  <tableColumns count="2">
    <tableColumn id="1" xr3:uid="{EB195ECE-0614-4710-9F56-F9E3F93FEE8D}" name="Type" totalsRowLabel="Total"/>
    <tableColumn id="2" xr3:uid="{8097299F-2234-4F56-8C47-805D96E1004A}" name="Total" totalsRowFunction="sum" dataDxfId="61" totalsRowDxfId="60">
      <calculatedColumnFormula>SUMIFS(Operations[Amount],Operations[Month],$B$11,Operations[Type],Balance_7[[#This Row],[Type]])</calculatedColumnFormula>
    </tableColumn>
  </tableColumns>
  <tableStyleInfo name="TableStyleMedium1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6102EC5C-A891-4EC9-9391-3D4F974BC114}" name="Flow_8" displayName="Flow_8" ref="A1:E9" totalsRowCount="1">
  <autoFilter ref="A1:E8" xr:uid="{381F1933-ED27-4BBD-BAEF-F39A6726BF59}"/>
  <tableColumns count="5">
    <tableColumn id="1" xr3:uid="{15EFF92B-C4D6-4214-A647-A1EDE13F1527}" name="Bank" totalsRowLabel="Total"/>
    <tableColumn id="2" xr3:uid="{0C2054DB-9178-4CEE-9CD0-71DC44BAB3FE}" name="Product"/>
    <tableColumn id="3" xr3:uid="{1257AC49-B802-48EC-A844-3EC248E2E4DB}" name="Opening balance" totalsRowFunction="sum" dataDxfId="59" totalsRowDxfId="58">
      <calculatedColumnFormula>INDIRECT("Flow_"&amp;$B$11-1&amp;"[@[Closing balance]]")</calculatedColumnFormula>
    </tableColumn>
    <tableColumn id="4" xr3:uid="{A51A89E0-77AD-4DFB-9C07-46AA6CB8D784}" name="Operations" totalsRowFunction="sum" dataDxfId="57" totalsRowDxfId="56">
      <calculatedColumnFormula>SUMIFS(Operations[Amount],Operations[Bank],Flow_8[[#This Row],[Bank]],Operations[Product],Flow_8[[#This Row],[Product]],Operations[Month],$B$11)</calculatedColumnFormula>
    </tableColumn>
    <tableColumn id="5" xr3:uid="{864C44C9-A06E-47B6-A4CE-C5CD0DD64D27}" name="Closing balance" totalsRowFunction="sum" dataDxfId="55" totalsRowDxfId="54">
      <calculatedColumnFormula>Flow_8[[#This Row],[Opening balance]]+Flow_8[[#This Row],[Operations]]</calculatedColumnFormula>
    </tableColumn>
  </tableColumns>
  <tableStyleInfo name="TableStyleMedium14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B35D606-97FE-4BD8-B93C-4B1AB94E2310}" name="Incomes_8" displayName="Incomes_8" ref="G1:H8" totalsRowCount="1">
  <autoFilter ref="G1:H7" xr:uid="{D29CBFC6-329D-45E3-A413-7BBD69571EA0}"/>
  <tableColumns count="2">
    <tableColumn id="1" xr3:uid="{5538D49F-E594-457B-83A7-8CCBC9B56930}" name="Category" totalsRowLabel="Total"/>
    <tableColumn id="2" xr3:uid="{A32902CC-94A8-4097-A5DF-633B56057B3D}" name="Total" totalsRowFunction="sum" dataDxfId="53" totalsRowDxfId="52">
      <calculatedColumnFormula>SUMIFS(Operations[Amount],Operations[Month],$B$11,Operations[Category],Incomes_8[[#This Row],[Category]])</calculatedColumnFormula>
    </tableColumn>
  </tableColumns>
  <tableStyleInfo name="TableStyleMedium13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0EED612-6208-4A7A-A5A5-C01B8CC809C9}" name="Expenses_8" displayName="Expenses_8" ref="J1:K11" totalsRowCount="1">
  <autoFilter ref="J1:K10" xr:uid="{2A3B6B1F-E3BA-4CE0-8D25-D7AD130F2A3B}"/>
  <tableColumns count="2">
    <tableColumn id="1" xr3:uid="{FD03BACB-5017-48C8-A0D1-49A4A6AD1394}" name="Category" totalsRowLabel="Total"/>
    <tableColumn id="2" xr3:uid="{877C6C07-5DCF-44D8-A052-13B419DB9870}" name="Total" totalsRowFunction="sum" dataDxfId="51" totalsRowDxfId="50">
      <calculatedColumnFormula>SUMIFS(Operations[Amount],Operations[Month],$B$11,Operations[Category],Expenses_8[[#This Row],[Category]])</calculatedColumnFormula>
    </tableColumn>
  </tableColumns>
  <tableStyleInfo name="TableStyleMedium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4E859430-BE69-4D24-9066-0BB1E48632DA}" name="Balance_8" displayName="Balance_8" ref="A13:B17" totalsRowCount="1">
  <autoFilter ref="A13:B16" xr:uid="{32B31EB4-3FF0-4AF1-A678-A4242AB5967C}"/>
  <tableColumns count="2">
    <tableColumn id="1" xr3:uid="{7F0F2F85-9D6E-4472-B0B8-FC2A63F57B9B}" name="Type" totalsRowLabel="Total"/>
    <tableColumn id="2" xr3:uid="{017D8A56-B5CE-42F3-A862-F9249958C0F7}" name="Total" totalsRowFunction="sum" dataDxfId="49" totalsRowDxfId="48">
      <calculatedColumnFormula>SUMIFS(Operations[Amount],Operations[Month],$B$11,Operations[Type],Balance_8[[#This Row],[Type]])</calculatedColumnFormula>
    </tableColumn>
  </tableColumns>
  <tableStyleInfo name="TableStyleMedium1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4A9C0CA-5099-4B0D-BF87-09E1B2FD91F5}" name="Flow_9" displayName="Flow_9" ref="A1:E9" totalsRowCount="1">
  <autoFilter ref="A1:E8" xr:uid="{381F1933-ED27-4BBD-BAEF-F39A6726BF59}"/>
  <tableColumns count="5">
    <tableColumn id="1" xr3:uid="{2C65D2E3-2EA2-449E-9BB8-5AD4F5BD2BDE}" name="Bank" totalsRowLabel="Total"/>
    <tableColumn id="2" xr3:uid="{B3C8482C-F085-495F-9C01-998EE2554BE7}" name="Product"/>
    <tableColumn id="3" xr3:uid="{6FE07EE4-258E-4395-B515-F7A471770CDA}" name="Opening balance" totalsRowFunction="sum" dataDxfId="47" totalsRowDxfId="46">
      <calculatedColumnFormula array="1">INDIRECT("Flow_"&amp;$B$11-1&amp;"[@[Closing balance]]")</calculatedColumnFormula>
    </tableColumn>
    <tableColumn id="4" xr3:uid="{460FE107-BFEE-4010-A194-C03540273452}" name="Operations" totalsRowFunction="sum" dataDxfId="45" totalsRowDxfId="44">
      <calculatedColumnFormula>SUMIFS(Operations[Amount],Operations[Bank],Flow_9[[#This Row],[Bank]],Operations[Product],Flow_9[[#This Row],[Product]],Operations[Month],$B$11)</calculatedColumnFormula>
    </tableColumn>
    <tableColumn id="5" xr3:uid="{F096DEE2-75E0-45AB-81FF-1A594E1C0F17}" name="Closing balance" totalsRowFunction="sum" dataDxfId="43" totalsRowDxfId="42">
      <calculatedColumnFormula>Flow_9[[#This Row],[Opening balance]]+Flow_9[[#This Row],[Operations]]</calculatedColumnFormula>
    </tableColumn>
  </tableColumns>
  <tableStyleInfo name="TableStyleMedium14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7FC33B79-36ED-47BD-9DE6-E35A68EAE7EA}" name="Incomes_9" displayName="Incomes_9" ref="G1:H8" totalsRowCount="1">
  <autoFilter ref="G1:H7" xr:uid="{D29CBFC6-329D-45E3-A413-7BBD69571EA0}"/>
  <tableColumns count="2">
    <tableColumn id="1" xr3:uid="{0501B0FA-615C-4056-8E3B-0B7EB6025255}" name="Category" totalsRowLabel="Total"/>
    <tableColumn id="2" xr3:uid="{ECA97B45-4872-4A63-8CA1-3A98FECB7962}" name="Total" totalsRowFunction="sum" dataDxfId="41" totalsRowDxfId="40">
      <calculatedColumnFormula>SUMIFS(Operations[Amount],Operations[Month],$B$11,Operations[Category],Incomes_9[[#This Row],[Category]])</calculatedColumnFormula>
    </tableColumn>
  </tableColumns>
  <tableStyleInfo name="TableStyleMedium13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F402B20B-8FF4-4989-ACD1-08B86793BF75}" name="Expenses_9" displayName="Expenses_9" ref="J1:K11" totalsRowCount="1">
  <autoFilter ref="J1:K10" xr:uid="{2A3B6B1F-E3BA-4CE0-8D25-D7AD130F2A3B}"/>
  <tableColumns count="2">
    <tableColumn id="1" xr3:uid="{E352E936-F59F-479A-96B2-0CF2E10E2964}" name="Category" totalsRowLabel="Total"/>
    <tableColumn id="2" xr3:uid="{AF57AA38-89D8-49DB-A5F2-522B64C9FCED}" name="Total" totalsRowFunction="sum" dataDxfId="39" totalsRowDxfId="38">
      <calculatedColumnFormula>SUMIFS(Operations[Amount],Operations[Month],$B$11,Operations[Category],Expenses_9[[#This Row],[Category]])</calculatedColumnFormula>
    </tableColumn>
  </tableColumns>
  <tableStyleInfo name="TableStyleMedium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B4B4434-6CF7-4E7E-940C-65D0B3A0A6BF}" name="Balance_9" displayName="Balance_9" ref="A13:B17" totalsRowCount="1">
  <autoFilter ref="A13:B16" xr:uid="{32B31EB4-3FF0-4AF1-A678-A4242AB5967C}"/>
  <tableColumns count="2">
    <tableColumn id="1" xr3:uid="{8CFF2CDA-6223-4612-97F8-A58491DDF0FA}" name="Type" totalsRowLabel="Total"/>
    <tableColumn id="2" xr3:uid="{0218F785-3639-4217-BD5C-D4DCB9F2359B}" name="Total" totalsRowFunction="sum" dataDxfId="37" totalsRowDxfId="36">
      <calculatedColumnFormula>SUMIFS(Operations[Amount],Operations[Month],$B$11,Operations[Type],Balance_9[[#This Row],[Type]])</calculatedColumnFormula>
    </tableColumn>
  </tableColumns>
  <tableStyleInfo name="TableStyleMedium1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7D2EA670-B989-42B7-90F9-5CE4FDCA47F4}" name="Flow_10" displayName="Flow_10" ref="A1:E9" totalsRowCount="1">
  <autoFilter ref="A1:E8" xr:uid="{381F1933-ED27-4BBD-BAEF-F39A6726BF59}"/>
  <tableColumns count="5">
    <tableColumn id="1" xr3:uid="{A133F4A3-E97C-422B-A325-18F979E696C9}" name="Bank" totalsRowLabel="Total"/>
    <tableColumn id="2" xr3:uid="{D1F09245-046C-4236-8113-44A45396863C}" name="Product"/>
    <tableColumn id="3" xr3:uid="{E1E4FB22-391F-4E5F-A799-A470FDA0F633}" name="Opening balance" totalsRowFunction="sum" dataDxfId="35" totalsRowDxfId="34">
      <calculatedColumnFormula array="1">INDIRECT("Flow_"&amp;$B$11-1&amp;"[@[Closing balance]]")</calculatedColumnFormula>
    </tableColumn>
    <tableColumn id="4" xr3:uid="{CA090F2C-D947-45B7-A40F-63D332BE4603}" name="Operations" totalsRowFunction="sum" dataDxfId="33" totalsRowDxfId="32">
      <calculatedColumnFormula>SUMIFS(Operations[Amount],Operations[Bank],Flow_10[[#This Row],[Bank]],Operations[Product],Flow_10[[#This Row],[Product]],Operations[Month],$B$11)</calculatedColumnFormula>
    </tableColumn>
    <tableColumn id="5" xr3:uid="{3371A3AE-0D7F-445E-AA26-A98EC1D02B3E}" name="Closing balance" totalsRowFunction="sum" dataDxfId="31" totalsRowDxfId="30">
      <calculatedColumnFormula>Flow_10[[#This Row],[Opening balance]]+Flow_10[[#This Row],[Operations]]</calculatedColumnFormula>
    </tableColumn>
  </tableColumns>
  <tableStyleInfo name="TableStyleMedium14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3B4C8117-1063-4F9B-926E-38E1C555C372}" name="Incomes_10" displayName="Incomes_10" ref="G1:H8" totalsRowCount="1">
  <autoFilter ref="G1:H7" xr:uid="{D29CBFC6-329D-45E3-A413-7BBD69571EA0}"/>
  <tableColumns count="2">
    <tableColumn id="1" xr3:uid="{6B6574E2-FD98-4111-ACEC-FA92F2B0953F}" name="Category" totalsRowLabel="Total"/>
    <tableColumn id="2" xr3:uid="{312632A0-AA60-4E61-9CF0-56890D681AB5}" name="Total" totalsRowFunction="sum" dataDxfId="29" totalsRowDxfId="28">
      <calculatedColumnFormula>SUMIFS(Operations[Amount],Operations[Month],$B$11,Operations[Category],Incomes_10[[#This Row],[Category]])</calculatedColumnFormula>
    </tableColumn>
  </tableColumns>
  <tableStyleInfo name="TableStyleMedium13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81499AA-EFFC-43E4-832F-55572B459136}" name="Expenses_10" displayName="Expenses_10" ref="J1:K11" totalsRowCount="1">
  <autoFilter ref="J1:K10" xr:uid="{2A3B6B1F-E3BA-4CE0-8D25-D7AD130F2A3B}"/>
  <tableColumns count="2">
    <tableColumn id="1" xr3:uid="{3BEF84B3-27AD-4B5D-B1BD-B007B94A977B}" name="Category" totalsRowLabel="Total"/>
    <tableColumn id="2" xr3:uid="{4F8FEBB5-C439-4C21-894B-7C93D949315A}" name="Total" totalsRowFunction="sum" dataDxfId="27" totalsRowDxfId="26">
      <calculatedColumnFormula>SUMIFS(Operations[Amount],Operations[Month],$B$11,Operations[Category],Expenses_10[[#This Row],[Category]])</calculatedColumnFormula>
    </tableColumn>
  </tableColumns>
  <tableStyleInfo name="TableStyleMedium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F759F524-2F05-4998-8659-6DD7742EEF21}" name="Balance_10" displayName="Balance_10" ref="A13:B17" totalsRowCount="1">
  <autoFilter ref="A13:B16" xr:uid="{32B31EB4-3FF0-4AF1-A678-A4242AB5967C}"/>
  <tableColumns count="2">
    <tableColumn id="1" xr3:uid="{F8198A3A-6B87-4CA0-9890-DEF61F51D072}" name="Type" totalsRowLabel="Total"/>
    <tableColumn id="2" xr3:uid="{97977664-CF59-4BFC-9464-3697104F82FC}" name="Total" totalsRowFunction="sum" dataDxfId="25" totalsRowDxfId="24">
      <calculatedColumnFormula>SUMIFS(Operations[Amount],Operations[Month],$B$11,Operations[Type],Balance_10[[#This Row],[Type]])</calculatedColumnFormula>
    </tableColumn>
  </tableColumns>
  <tableStyleInfo name="TableStyleMedium1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DB54B50E-3ABE-4EA1-A038-9820B068FDA1}" name="Flow_11" displayName="Flow_11" ref="A1:E9" totalsRowCount="1">
  <autoFilter ref="A1:E8" xr:uid="{381F1933-ED27-4BBD-BAEF-F39A6726BF59}"/>
  <tableColumns count="5">
    <tableColumn id="1" xr3:uid="{8580912F-E00F-43DB-89E5-F6B488C64EAD}" name="Bank" totalsRowLabel="Total"/>
    <tableColumn id="2" xr3:uid="{D5475D17-7C3E-4919-831F-FAB94EACD828}" name="Product"/>
    <tableColumn id="3" xr3:uid="{42BBFFA1-B88F-4B78-AE30-630C9D12CF64}" name="Opening balance" totalsRowFunction="sum" dataDxfId="23" totalsRowDxfId="22">
      <calculatedColumnFormula array="1">INDIRECT("Flow_"&amp;$B$11-1&amp;"[@[Closing balance]]")</calculatedColumnFormula>
    </tableColumn>
    <tableColumn id="4" xr3:uid="{5F1AC8E2-0A27-41C0-A0AF-CD68E384A4D8}" name="Operations" totalsRowFunction="sum" dataDxfId="21" totalsRowDxfId="20">
      <calculatedColumnFormula>SUMIFS(Operations[Amount],Operations[Bank],Flow_11[[#This Row],[Bank]],Operations[Product],Flow_11[[#This Row],[Product]],Operations[Month],$B$11)</calculatedColumnFormula>
    </tableColumn>
    <tableColumn id="5" xr3:uid="{ECD7E05D-8CA5-4835-971D-EF3B91AE4A8B}" name="Closing balance" totalsRowFunction="sum" dataDxfId="19" totalsRowDxfId="18">
      <calculatedColumnFormula>Flow_11[[#This Row],[Opening balance]]+Flow_11[[#This Row],[Operations]]</calculatedColumnFormula>
    </tableColumn>
  </tableColumns>
  <tableStyleInfo name="TableStyleMedium14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1D5185C-4CA1-4476-BC67-AF8D15CE1311}" name="Incomes_11" displayName="Incomes_11" ref="G1:H8" totalsRowCount="1">
  <autoFilter ref="G1:H7" xr:uid="{D29CBFC6-329D-45E3-A413-7BBD69571EA0}"/>
  <tableColumns count="2">
    <tableColumn id="1" xr3:uid="{6AE22BD1-5AD3-4FEF-980D-0B3A57F61442}" name="Category" totalsRowLabel="Total"/>
    <tableColumn id="2" xr3:uid="{FE33EA01-80D5-4EC1-8BF0-7F5D7E91BF26}" name="Total" totalsRowFunction="sum" dataDxfId="17" totalsRowDxfId="16">
      <calculatedColumnFormula>SUMIFS(Operations[Amount],Operations[Month],$B$11,Operations[Category],Incomes_11[[#This Row],[Category]])</calculatedColumnFormula>
    </tableColumn>
  </tableColumns>
  <tableStyleInfo name="TableStyleMedium13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126F10-5C77-4D66-9197-B06A0CD8AE3B}" name="Expenses_11" displayName="Expenses_11" ref="J1:K11" totalsRowCount="1">
  <autoFilter ref="J1:K10" xr:uid="{2A3B6B1F-E3BA-4CE0-8D25-D7AD130F2A3B}"/>
  <tableColumns count="2">
    <tableColumn id="1" xr3:uid="{1F3653B3-A448-484C-A3B4-4A28FDFF417A}" name="Category" totalsRowLabel="Total"/>
    <tableColumn id="2" xr3:uid="{00B48B08-46E5-47DE-9C50-B258EBD273FE}" name="Total" totalsRowFunction="sum" dataDxfId="15" totalsRowDxfId="14">
      <calculatedColumnFormula>SUMIFS(Operations[Amount],Operations[Month],$B$11,Operations[Category],Expenses_11[[#This Row],[Category]])</calculatedColumnFormula>
    </tableColumn>
  </tableColumns>
  <tableStyleInfo name="TableStyleMedium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C8AC96CF-64FF-4B09-A98F-4517BB9FF665}" name="Balance_11" displayName="Balance_11" ref="A13:B17" totalsRowCount="1">
  <autoFilter ref="A13:B16" xr:uid="{32B31EB4-3FF0-4AF1-A678-A4242AB5967C}"/>
  <tableColumns count="2">
    <tableColumn id="1" xr3:uid="{4E60D87D-608F-4622-B0BA-DDDED7666DF4}" name="Type" totalsRowLabel="Total"/>
    <tableColumn id="2" xr3:uid="{08E6833D-5DC6-4D7A-983C-0FE813F408DB}" name="Total" totalsRowFunction="sum" dataDxfId="13" totalsRowDxfId="12">
      <calculatedColumnFormula>SUMIFS(Operations[Amount],Operations[Month],$B$11,Operations[Type],Balance_11[[#This Row],[Type]])</calculatedColumnFormula>
    </tableColumn>
  </tableColumns>
  <tableStyleInfo name="TableStyleMedium1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1161B790-D527-4187-B0ED-541A205555C9}" name="Flow_12" displayName="Flow_12" ref="A1:E9" totalsRowCount="1">
  <autoFilter ref="A1:E8" xr:uid="{381F1933-ED27-4BBD-BAEF-F39A6726BF59}"/>
  <tableColumns count="5">
    <tableColumn id="1" xr3:uid="{29DB3BE5-4872-4A08-BD7E-9C4540797207}" name="Bank" totalsRowLabel="Total"/>
    <tableColumn id="2" xr3:uid="{39FE158D-D1B0-4DB9-B6A9-2FC6119FF5C6}" name="Product"/>
    <tableColumn id="3" xr3:uid="{3DCC5172-D6F4-44CE-A2A1-FE5F11B2B4F1}" name="Opening balance" totalsRowFunction="sum" dataDxfId="11" totalsRowDxfId="10">
      <calculatedColumnFormula array="1">INDIRECT("Flow_"&amp;$B$11-1&amp;"[@[Closing balance]]")</calculatedColumnFormula>
    </tableColumn>
    <tableColumn id="4" xr3:uid="{45D1EFDC-A59B-46AC-B95D-AFBFDAF6D04B}" name="Operations" totalsRowFunction="sum" dataDxfId="9" totalsRowDxfId="8">
      <calculatedColumnFormula>SUMIFS(Operations[Amount],Operations[Bank],Flow_12[[#This Row],[Bank]],Operations[Product],Flow_12[[#This Row],[Product]],Operations[Month],$B$11)</calculatedColumnFormula>
    </tableColumn>
    <tableColumn id="5" xr3:uid="{174A6FF2-0D67-49F2-B72A-D604E3E70265}" name="Closing balance" totalsRowFunction="sum" dataDxfId="7" totalsRowDxfId="6">
      <calculatedColumnFormula>Flow_12[[#This Row],[Opening balance]]+Flow_12[[#This Row],[Operations]]</calculatedColumnFormula>
    </tableColumn>
  </tableColumns>
  <tableStyleInfo name="TableStyleMedium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2C33F4D-7A20-45C7-9AAF-A359BD8D363F}" name="Incomes_12" displayName="Incomes_12" ref="G1:H8" totalsRowCount="1">
  <autoFilter ref="G1:H7" xr:uid="{D29CBFC6-329D-45E3-A413-7BBD69571EA0}"/>
  <tableColumns count="2">
    <tableColumn id="1" xr3:uid="{69D27D87-D471-4C8D-86A2-59FFD2BB5065}" name="Category" totalsRowLabel="Total"/>
    <tableColumn id="2" xr3:uid="{DA384275-DDFF-4432-8B5B-C7AF5D5F21FE}" name="Total" totalsRowFunction="sum" dataDxfId="5" totalsRowDxfId="4">
      <calculatedColumnFormula>SUMIFS(Operations[Amount],Operations[Month],$B$11,Operations[Category],Incomes_12[[#This Row],[Category]])</calculatedColumnFormula>
    </tableColumn>
  </tableColumns>
  <tableStyleInfo name="TableStyleMedium13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4CF94AD-7CFC-4B49-AD55-9CBC1F19CA19}" name="Expenses_12" displayName="Expenses_12" ref="J1:K11" totalsRowCount="1">
  <autoFilter ref="J1:K10" xr:uid="{2A3B6B1F-E3BA-4CE0-8D25-D7AD130F2A3B}"/>
  <tableColumns count="2">
    <tableColumn id="1" xr3:uid="{A62E2E89-F700-482E-BB41-F2E8F99A8B7B}" name="Category" totalsRowLabel="Total"/>
    <tableColumn id="2" xr3:uid="{440D9897-FA9D-458C-B29E-4EF26450AF71}" name="Total" totalsRowFunction="sum" dataDxfId="3" totalsRowDxfId="2">
      <calculatedColumnFormula>SUMIFS(Operations[Amount],Operations[Month],$B$11,Operations[Category],Expenses_12[[#This Row],[Category]])</calculatedColumnFormula>
    </tableColumn>
  </tableColumns>
  <tableStyleInfo name="TableStyleMedium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D23A8FE-1EED-490B-BD26-3B20D6193DF0}" name="Balance_12" displayName="Balance_12" ref="A13:B17" totalsRowCount="1">
  <autoFilter ref="A13:B16" xr:uid="{32B31EB4-3FF0-4AF1-A678-A4242AB5967C}"/>
  <tableColumns count="2">
    <tableColumn id="1" xr3:uid="{CE43BBB4-5896-4E01-B857-47469217AB04}" name="Type" totalsRowLabel="Total"/>
    <tableColumn id="2" xr3:uid="{328365D8-0B6F-4C98-B5BD-52302F613B67}" name="Total" totalsRowFunction="sum" dataDxfId="1" totalsRowDxfId="0">
      <calculatedColumnFormula>SUMIFS(Operations[Amount],Operations[Month],$B$11,Operations[Type],Balance_12[[#This Row],[Type]])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Relationship Id="rId4" Type="http://schemas.openxmlformats.org/officeDocument/2006/relationships/table" Target="../tables/table2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Relationship Id="rId4" Type="http://schemas.openxmlformats.org/officeDocument/2006/relationships/table" Target="../tables/table2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Relationship Id="rId4" Type="http://schemas.openxmlformats.org/officeDocument/2006/relationships/table" Target="../tables/table2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Relationship Id="rId4" Type="http://schemas.openxmlformats.org/officeDocument/2006/relationships/table" Target="../tables/table3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Relationship Id="rId4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0.xml"/><Relationship Id="rId2" Type="http://schemas.openxmlformats.org/officeDocument/2006/relationships/table" Target="../tables/table39.xml"/><Relationship Id="rId1" Type="http://schemas.openxmlformats.org/officeDocument/2006/relationships/table" Target="../tables/table38.xml"/><Relationship Id="rId4" Type="http://schemas.openxmlformats.org/officeDocument/2006/relationships/table" Target="../tables/table4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4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Relationship Id="rId4" Type="http://schemas.openxmlformats.org/officeDocument/2006/relationships/table" Target="../tables/table49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2.xml"/><Relationship Id="rId2" Type="http://schemas.openxmlformats.org/officeDocument/2006/relationships/table" Target="../tables/table51.xml"/><Relationship Id="rId1" Type="http://schemas.openxmlformats.org/officeDocument/2006/relationships/table" Target="../tables/table50.xml"/><Relationship Id="rId4" Type="http://schemas.openxmlformats.org/officeDocument/2006/relationships/table" Target="../tables/table5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C6BC-B9BD-47EE-B2CB-AEB1438C6764}">
  <dimension ref="A1:K17"/>
  <sheetViews>
    <sheetView zoomScale="142" workbookViewId="0">
      <selection activeCell="I17" sqref="I17"/>
    </sheetView>
  </sheetViews>
  <sheetFormatPr defaultColWidth="8.85546875" defaultRowHeight="15" x14ac:dyDescent="0.25"/>
  <cols>
    <col min="1" max="1" width="16" bestFit="1" customWidth="1"/>
    <col min="4" max="4" width="11" customWidth="1"/>
    <col min="6" max="6" width="10.7109375" bestFit="1" customWidth="1"/>
    <col min="7" max="7" width="18.42578125" bestFit="1" customWidth="1"/>
    <col min="9" max="9" width="13.140625" bestFit="1" customWidth="1"/>
    <col min="10" max="10" width="18.5703125" bestFit="1" customWidth="1"/>
  </cols>
  <sheetData>
    <row r="1" spans="1:11" x14ac:dyDescent="0.25">
      <c r="A1" s="1" t="s">
        <v>3</v>
      </c>
      <c r="B1" t="s">
        <v>4</v>
      </c>
      <c r="F1" s="1" t="s">
        <v>0</v>
      </c>
      <c r="G1" s="1" t="s">
        <v>2</v>
      </c>
      <c r="I1" s="4" t="s">
        <v>11</v>
      </c>
      <c r="J1" s="4" t="s">
        <v>7</v>
      </c>
      <c r="K1" s="4" t="s">
        <v>13</v>
      </c>
    </row>
    <row r="2" spans="1:11" x14ac:dyDescent="0.25">
      <c r="A2" s="1" t="s">
        <v>18</v>
      </c>
      <c r="B2" t="s">
        <v>32</v>
      </c>
      <c r="F2" s="1" t="s">
        <v>11</v>
      </c>
      <c r="G2" s="1" t="s">
        <v>8</v>
      </c>
      <c r="I2" s="4" t="s">
        <v>8</v>
      </c>
      <c r="J2" s="4" t="s">
        <v>8</v>
      </c>
      <c r="K2" s="4" t="s">
        <v>15</v>
      </c>
    </row>
    <row r="3" spans="1:11" x14ac:dyDescent="0.25">
      <c r="A3" s="1" t="s">
        <v>22</v>
      </c>
      <c r="B3" t="s">
        <v>32</v>
      </c>
      <c r="F3" s="1" t="s">
        <v>11</v>
      </c>
      <c r="G3" s="1" t="s">
        <v>12</v>
      </c>
      <c r="I3" s="4" t="s">
        <v>12</v>
      </c>
      <c r="J3" s="4" t="s">
        <v>9</v>
      </c>
      <c r="K3" s="4" t="s">
        <v>14</v>
      </c>
    </row>
    <row r="4" spans="1:11" x14ac:dyDescent="0.25">
      <c r="A4" s="1" t="s">
        <v>20</v>
      </c>
      <c r="B4" t="s">
        <v>32</v>
      </c>
      <c r="F4" s="1" t="s">
        <v>7</v>
      </c>
      <c r="G4" s="1" t="s">
        <v>8</v>
      </c>
      <c r="I4" s="5"/>
      <c r="J4" s="4" t="s">
        <v>10</v>
      </c>
      <c r="K4" s="5"/>
    </row>
    <row r="5" spans="1:11" x14ac:dyDescent="0.25">
      <c r="A5" s="1" t="s">
        <v>17</v>
      </c>
      <c r="B5" t="s">
        <v>32</v>
      </c>
      <c r="F5" s="1" t="s">
        <v>7</v>
      </c>
      <c r="G5" s="1" t="s">
        <v>9</v>
      </c>
      <c r="I5" s="5"/>
      <c r="J5" s="5"/>
      <c r="K5" s="5"/>
    </row>
    <row r="6" spans="1:11" x14ac:dyDescent="0.25">
      <c r="A6" s="1" t="s">
        <v>21</v>
      </c>
      <c r="B6" t="s">
        <v>32</v>
      </c>
      <c r="F6" s="1" t="s">
        <v>7</v>
      </c>
      <c r="G6" s="1" t="s">
        <v>10</v>
      </c>
      <c r="I6" s="5"/>
      <c r="J6" s="5"/>
      <c r="K6" s="5"/>
    </row>
    <row r="7" spans="1:11" x14ac:dyDescent="0.25">
      <c r="A7" s="1" t="s">
        <v>19</v>
      </c>
      <c r="B7" t="s">
        <v>32</v>
      </c>
      <c r="F7" s="1" t="s">
        <v>13</v>
      </c>
      <c r="G7" s="1" t="s">
        <v>15</v>
      </c>
      <c r="I7" s="5"/>
      <c r="J7" s="5"/>
      <c r="K7" s="5"/>
    </row>
    <row r="8" spans="1:11" x14ac:dyDescent="0.25">
      <c r="A8" s="1" t="s">
        <v>24</v>
      </c>
      <c r="B8" t="s">
        <v>32</v>
      </c>
      <c r="F8" s="1" t="s">
        <v>13</v>
      </c>
      <c r="G8" s="1" t="s">
        <v>14</v>
      </c>
      <c r="I8" s="5"/>
      <c r="J8" s="5"/>
      <c r="K8" s="5"/>
    </row>
    <row r="9" spans="1:11" x14ac:dyDescent="0.25">
      <c r="A9" s="1" t="s">
        <v>23</v>
      </c>
      <c r="B9" t="s">
        <v>32</v>
      </c>
    </row>
    <row r="10" spans="1:11" x14ac:dyDescent="0.25">
      <c r="A10" s="1" t="s">
        <v>16</v>
      </c>
      <c r="B10" t="s">
        <v>32</v>
      </c>
    </row>
    <row r="11" spans="1:11" x14ac:dyDescent="0.25">
      <c r="A11" s="1" t="s">
        <v>25</v>
      </c>
      <c r="B11" t="s">
        <v>33</v>
      </c>
    </row>
    <row r="12" spans="1:11" x14ac:dyDescent="0.25">
      <c r="A12" s="1" t="s">
        <v>28</v>
      </c>
      <c r="B12" t="s">
        <v>33</v>
      </c>
    </row>
    <row r="13" spans="1:11" x14ac:dyDescent="0.25">
      <c r="A13" s="1" t="s">
        <v>29</v>
      </c>
      <c r="B13" t="s">
        <v>33</v>
      </c>
    </row>
    <row r="14" spans="1:11" x14ac:dyDescent="0.25">
      <c r="A14" s="1" t="s">
        <v>30</v>
      </c>
      <c r="B14" t="s">
        <v>33</v>
      </c>
    </row>
    <row r="15" spans="1:11" x14ac:dyDescent="0.25">
      <c r="A15" s="1" t="s">
        <v>26</v>
      </c>
      <c r="B15" t="s">
        <v>33</v>
      </c>
    </row>
    <row r="16" spans="1:11" x14ac:dyDescent="0.25">
      <c r="A16" s="1" t="s">
        <v>27</v>
      </c>
      <c r="B16" t="s">
        <v>33</v>
      </c>
    </row>
    <row r="17" spans="1:2" x14ac:dyDescent="0.25">
      <c r="A17" s="1" t="s">
        <v>31</v>
      </c>
      <c r="B17" t="s">
        <v>34</v>
      </c>
    </row>
  </sheetData>
  <dataValidations count="1">
    <dataValidation type="list" allowBlank="1" showInputMessage="1" showErrorMessage="1" sqref="B1:B1048576" xr:uid="{D5592ECE-06AF-41BF-B12A-A053D0FCCA0B}">
      <formula1>"Income,Transfert, Expense"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zoomScale="108" workbookViewId="0">
      <selection activeCell="C213" sqref="C213"/>
    </sheetView>
  </sheetViews>
  <sheetFormatPr defaultColWidth="8.85546875" defaultRowHeight="15" x14ac:dyDescent="0.25"/>
  <cols>
    <col min="1" max="1" width="11.85546875" bestFit="1" customWidth="1"/>
    <col min="2" max="2" width="10.7109375" bestFit="1" customWidth="1"/>
    <col min="3" max="3" width="18.42578125" bestFit="1" customWidth="1"/>
    <col min="4" max="4" width="16" bestFit="1" customWidth="1"/>
    <col min="5" max="5" width="12.7109375" customWidth="1"/>
    <col min="6" max="6" width="11.7109375" bestFit="1" customWidth="1"/>
    <col min="7" max="7" width="8.7109375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idden="1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Row],[Category]],Categories[Category],Categories[Type],"",0,1)</f>
        <v>Expense</v>
      </c>
      <c r="F2" s="3">
        <v>45296</v>
      </c>
      <c r="G2" s="1">
        <f>MONTH(Operations[[#This Row],[Date]])</f>
        <v>1</v>
      </c>
    </row>
    <row r="3" spans="1:7" hidden="1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Row],[Category]],Categories[Category],Categories[Type],"",0,1)</f>
        <v>Income</v>
      </c>
      <c r="F3" s="3">
        <v>45301</v>
      </c>
      <c r="G3" s="1">
        <f>MONTH(Operations[[#This Row],[Date]])</f>
        <v>1</v>
      </c>
    </row>
    <row r="4" spans="1:7" hidden="1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Row],[Category]],Categories[Category],Categories[Type],"",0,1)</f>
        <v>Expense</v>
      </c>
      <c r="F4" s="3">
        <v>45302</v>
      </c>
      <c r="G4" s="1">
        <f>MONTH(Operations[[#This Row],[Date]])</f>
        <v>1</v>
      </c>
    </row>
    <row r="5" spans="1:7" hidden="1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Row],[Category]],Categories[Category],Categories[Type],"",0,1)</f>
        <v>Expense</v>
      </c>
      <c r="F5" s="3">
        <v>45305</v>
      </c>
      <c r="G5" s="1">
        <f>MONTH(Operations[[#This Row],[Date]])</f>
        <v>1</v>
      </c>
    </row>
    <row r="6" spans="1:7" hidden="1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Row],[Category]],Categories[Category],Categories[Type],"",0,1)</f>
        <v>Expense</v>
      </c>
      <c r="F6" s="3">
        <v>45306</v>
      </c>
      <c r="G6" s="1">
        <f>MONTH(Operations[[#This Row],[Date]])</f>
        <v>1</v>
      </c>
    </row>
    <row r="7" spans="1:7" hidden="1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Row],[Category]],Categories[Category],Categories[Type],"",0,1)</f>
        <v>Expense</v>
      </c>
      <c r="F7" s="3">
        <v>45307</v>
      </c>
      <c r="G7" s="1">
        <f>MONTH(Operations[[#This Row],[Date]])</f>
        <v>1</v>
      </c>
    </row>
    <row r="8" spans="1:7" hidden="1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Row],[Category]],Categories[Category],Categories[Type],"",0,1)</f>
        <v>Income</v>
      </c>
      <c r="F8" s="3">
        <v>45308</v>
      </c>
      <c r="G8" s="1">
        <f>MONTH(Operations[[#This Row],[Date]])</f>
        <v>1</v>
      </c>
    </row>
    <row r="9" spans="1:7" hidden="1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Row],[Category]],Categories[Category],Categories[Type],"",0,1)</f>
        <v>Expense</v>
      </c>
      <c r="F9" s="3">
        <v>45308</v>
      </c>
      <c r="G9" s="1">
        <f>MONTH(Operations[[#This Row],[Date]])</f>
        <v>1</v>
      </c>
    </row>
    <row r="10" spans="1:7" hidden="1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Row],[Category]],Categories[Category],Categories[Type],"",0,1)</f>
        <v>Income</v>
      </c>
      <c r="F10" s="3">
        <v>45308</v>
      </c>
      <c r="G10" s="1">
        <f>MONTH(Operations[[#This Row],[Date]])</f>
        <v>1</v>
      </c>
    </row>
    <row r="11" spans="1:7" hidden="1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Row],[Category]],Categories[Category],Categories[Type],"",0,1)</f>
        <v>Expense</v>
      </c>
      <c r="F11" s="3">
        <v>45310</v>
      </c>
      <c r="G11" s="1">
        <f>MONTH(Operations[[#This Row],[Date]])</f>
        <v>1</v>
      </c>
    </row>
    <row r="12" spans="1:7" hidden="1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Row],[Category]],Categories[Category],Categories[Type],"",0,1)</f>
        <v>Expense</v>
      </c>
      <c r="F12" s="3">
        <v>45311</v>
      </c>
      <c r="G12" s="1">
        <f>MONTH(Operations[[#This Row],[Date]])</f>
        <v>1</v>
      </c>
    </row>
    <row r="13" spans="1:7" hidden="1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Row],[Category]],Categories[Category],Categories[Type],"",0,1)</f>
        <v>Income</v>
      </c>
      <c r="F13" s="3">
        <v>45312</v>
      </c>
      <c r="G13" s="1">
        <f>MONTH(Operations[[#This Row],[Date]])</f>
        <v>1</v>
      </c>
    </row>
    <row r="14" spans="1:7" hidden="1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Row],[Category]],Categories[Category],Categories[Type],"",0,1)</f>
        <v>Expense</v>
      </c>
      <c r="F14" s="3">
        <v>45313</v>
      </c>
      <c r="G14" s="1">
        <f>MONTH(Operations[[#This Row],[Date]])</f>
        <v>1</v>
      </c>
    </row>
    <row r="15" spans="1:7" hidden="1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Row],[Category]],Categories[Category],Categories[Type],"",0,1)</f>
        <v>Expense</v>
      </c>
      <c r="F15" s="3">
        <v>45314</v>
      </c>
      <c r="G15" s="1">
        <f>MONTH(Operations[[#This Row],[Date]])</f>
        <v>1</v>
      </c>
    </row>
    <row r="16" spans="1:7" hidden="1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Row],[Category]],Categories[Category],Categories[Type],"",0,1)</f>
        <v>Expense</v>
      </c>
      <c r="F16" s="3">
        <v>45315</v>
      </c>
      <c r="G16" s="1">
        <f>MONTH(Operations[[#This Row],[Date]])</f>
        <v>1</v>
      </c>
    </row>
    <row r="17" spans="1:7" hidden="1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Row],[Category]],Categories[Category],Categories[Type],"",0,1)</f>
        <v>Expense</v>
      </c>
      <c r="F17" s="3">
        <v>45316</v>
      </c>
      <c r="G17" s="1">
        <f>MONTH(Operations[[#This Row],[Date]])</f>
        <v>1</v>
      </c>
    </row>
    <row r="18" spans="1:7" hidden="1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Row],[Category]],Categories[Category],Categories[Type],"",0,1)</f>
        <v>Income</v>
      </c>
      <c r="F18" s="3">
        <v>45316</v>
      </c>
      <c r="G18" s="1">
        <f>MONTH(Operations[[#This Row],[Date]])</f>
        <v>1</v>
      </c>
    </row>
    <row r="19" spans="1:7" hidden="1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Row],[Category]],Categories[Category],Categories[Type],"",0,1)</f>
        <v>Income</v>
      </c>
      <c r="F19" s="3">
        <v>45317</v>
      </c>
      <c r="G19" s="1">
        <f>MONTH(Operations[[#This Row],[Date]])</f>
        <v>1</v>
      </c>
    </row>
    <row r="20" spans="1:7" hidden="1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Row],[Category]],Categories[Category],Categories[Type],"",0,1)</f>
        <v>Income</v>
      </c>
      <c r="F20" s="3">
        <v>45318</v>
      </c>
      <c r="G20" s="1">
        <f>MONTH(Operations[[#This Row],[Date]])</f>
        <v>1</v>
      </c>
    </row>
    <row r="21" spans="1:7" hidden="1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Row],[Category]],Categories[Category],Categories[Type],"",0,1)</f>
        <v>Expense</v>
      </c>
      <c r="F21" s="3">
        <v>45319</v>
      </c>
      <c r="G21" s="1">
        <f>MONTH(Operations[[#This Row],[Date]])</f>
        <v>1</v>
      </c>
    </row>
    <row r="22" spans="1:7" hidden="1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Row],[Category]],Categories[Category],Categories[Type],"",0,1)</f>
        <v>Income</v>
      </c>
      <c r="F22" s="3">
        <v>45324</v>
      </c>
      <c r="G22" s="1">
        <f>MONTH(Operations[[#This Row],[Date]])</f>
        <v>2</v>
      </c>
    </row>
    <row r="23" spans="1:7" hidden="1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Row],[Category]],Categories[Category],Categories[Type],"",0,1)</f>
        <v>Expense</v>
      </c>
      <c r="F23" s="3">
        <v>45326</v>
      </c>
      <c r="G23" s="1">
        <f>MONTH(Operations[[#This Row],[Date]])</f>
        <v>2</v>
      </c>
    </row>
    <row r="24" spans="1:7" hidden="1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Row],[Category]],Categories[Category],Categories[Type],"",0,1)</f>
        <v>Expense</v>
      </c>
      <c r="F24" s="3">
        <v>45328</v>
      </c>
      <c r="G24" s="1">
        <f>MONTH(Operations[[#This Row],[Date]])</f>
        <v>2</v>
      </c>
    </row>
    <row r="25" spans="1:7" hidden="1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Row],[Category]],Categories[Category],Categories[Type],"",0,1)</f>
        <v>Income</v>
      </c>
      <c r="F25" s="3">
        <v>45332</v>
      </c>
      <c r="G25" s="1">
        <f>MONTH(Operations[[#This Row],[Date]])</f>
        <v>2</v>
      </c>
    </row>
    <row r="26" spans="1:7" hidden="1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Row],[Category]],Categories[Category],Categories[Type],"",0,1)</f>
        <v>Expense</v>
      </c>
      <c r="F26" s="3">
        <v>45333</v>
      </c>
      <c r="G26" s="1">
        <f>MONTH(Operations[[#This Row],[Date]])</f>
        <v>2</v>
      </c>
    </row>
    <row r="27" spans="1:7" hidden="1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Row],[Category]],Categories[Category],Categories[Type],"",0,1)</f>
        <v>Expense</v>
      </c>
      <c r="F27" s="3">
        <v>45335</v>
      </c>
      <c r="G27" s="1">
        <f>MONTH(Operations[[#This Row],[Date]])</f>
        <v>2</v>
      </c>
    </row>
    <row r="28" spans="1:7" hidden="1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Row],[Category]],Categories[Category],Categories[Type],"",0,1)</f>
        <v>Income</v>
      </c>
      <c r="F28" s="3">
        <v>45336</v>
      </c>
      <c r="G28" s="1">
        <f>MONTH(Operations[[#This Row],[Date]])</f>
        <v>2</v>
      </c>
    </row>
    <row r="29" spans="1:7" hidden="1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Row],[Category]],Categories[Category],Categories[Type],"",0,1)</f>
        <v>Expense</v>
      </c>
      <c r="F29" s="3">
        <v>45336</v>
      </c>
      <c r="G29" s="1">
        <f>MONTH(Operations[[#This Row],[Date]])</f>
        <v>2</v>
      </c>
    </row>
    <row r="30" spans="1:7" hidden="1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Row],[Category]],Categories[Category],Categories[Type],"",0,1)</f>
        <v>Expense</v>
      </c>
      <c r="F30" s="3">
        <v>45336</v>
      </c>
      <c r="G30" s="1">
        <f>MONTH(Operations[[#This Row],[Date]])</f>
        <v>2</v>
      </c>
    </row>
    <row r="31" spans="1:7" hidden="1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Row],[Category]],Categories[Category],Categories[Type],"",0,1)</f>
        <v>Expense</v>
      </c>
      <c r="F31" s="3">
        <v>45336</v>
      </c>
      <c r="G31" s="1">
        <f>MONTH(Operations[[#This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Row],[Category]],Categories[Category],Categories[Type],"",0,1)</f>
        <v>Transfert</v>
      </c>
      <c r="F32" s="3">
        <v>45337</v>
      </c>
      <c r="G32" s="1">
        <f>MONTH(Operations[[#This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Row],[Category]],Categories[Category],Categories[Type],"",0,1)</f>
        <v>Transfert</v>
      </c>
      <c r="F33" s="3">
        <v>45337</v>
      </c>
      <c r="G33" s="1">
        <f>MONTH(Operations[[#This Row],[Date]])</f>
        <v>2</v>
      </c>
    </row>
    <row r="34" spans="1:7" hidden="1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Row],[Category]],Categories[Category],Categories[Type],"",0,1)</f>
        <v>Expense</v>
      </c>
      <c r="F34" s="3">
        <v>45339</v>
      </c>
      <c r="G34" s="1">
        <f>MONTH(Operations[[#This Row],[Date]])</f>
        <v>2</v>
      </c>
    </row>
    <row r="35" spans="1:7" hidden="1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Row],[Category]],Categories[Category],Categories[Type],"",0,1)</f>
        <v>Expense</v>
      </c>
      <c r="F35" s="3">
        <v>45342</v>
      </c>
      <c r="G35" s="1">
        <f>MONTH(Operations[[#This Row],[Date]])</f>
        <v>2</v>
      </c>
    </row>
    <row r="36" spans="1:7" hidden="1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Row],[Category]],Categories[Category],Categories[Type],"",0,1)</f>
        <v>Income</v>
      </c>
      <c r="F36" s="3">
        <v>45344</v>
      </c>
      <c r="G36" s="1">
        <f>MONTH(Operations[[#This Row],[Date]])</f>
        <v>2</v>
      </c>
    </row>
    <row r="37" spans="1:7" hidden="1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Row],[Category]],Categories[Category],Categories[Type],"",0,1)</f>
        <v>Income</v>
      </c>
      <c r="F37" s="3">
        <v>45345</v>
      </c>
      <c r="G37" s="1">
        <f>MONTH(Operations[[#This Row],[Date]])</f>
        <v>2</v>
      </c>
    </row>
    <row r="38" spans="1:7" hidden="1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Row],[Category]],Categories[Category],Categories[Type],"",0,1)</f>
        <v>Expense</v>
      </c>
      <c r="F38" s="3">
        <v>45346</v>
      </c>
      <c r="G38" s="1">
        <f>MONTH(Operations[[#This Row],[Date]])</f>
        <v>2</v>
      </c>
    </row>
    <row r="39" spans="1:7" hidden="1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Row],[Category]],Categories[Category],Categories[Type],"",0,1)</f>
        <v>Income</v>
      </c>
      <c r="F39" s="3">
        <v>45347</v>
      </c>
      <c r="G39" s="1">
        <f>MONTH(Operations[[#This Row],[Date]])</f>
        <v>2</v>
      </c>
    </row>
    <row r="40" spans="1:7" hidden="1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Row],[Category]],Categories[Category],Categories[Type],"",0,1)</f>
        <v>Expense</v>
      </c>
      <c r="F40" s="3">
        <v>45347</v>
      </c>
      <c r="G40" s="1">
        <f>MONTH(Operations[[#This Row],[Date]])</f>
        <v>2</v>
      </c>
    </row>
    <row r="41" spans="1:7" hidden="1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Row],[Category]],Categories[Category],Categories[Type],"",0,1)</f>
        <v>Expense</v>
      </c>
      <c r="F41" s="3">
        <v>45348</v>
      </c>
      <c r="G41" s="1">
        <f>MONTH(Operations[[#This Row],[Date]])</f>
        <v>2</v>
      </c>
    </row>
    <row r="42" spans="1:7" hidden="1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Row],[Category]],Categories[Category],Categories[Type],"",0,1)</f>
        <v>Expense</v>
      </c>
      <c r="F42" s="3">
        <v>45348</v>
      </c>
      <c r="G42" s="1">
        <f>MONTH(Operations[[#This Row],[Date]])</f>
        <v>2</v>
      </c>
    </row>
    <row r="43" spans="1:7" hidden="1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Row],[Category]],Categories[Category],Categories[Type],"",0,1)</f>
        <v>Income</v>
      </c>
      <c r="F43" s="3">
        <v>45349</v>
      </c>
      <c r="G43" s="1">
        <f>MONTH(Operations[[#This Row],[Date]])</f>
        <v>2</v>
      </c>
    </row>
    <row r="44" spans="1:7" hidden="1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Row],[Category]],Categories[Category],Categories[Type],"",0,1)</f>
        <v>Expense</v>
      </c>
      <c r="F44" s="3">
        <v>45350</v>
      </c>
      <c r="G44" s="1">
        <f>MONTH(Operations[[#This Row],[Date]])</f>
        <v>2</v>
      </c>
    </row>
    <row r="45" spans="1:7" hidden="1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Row],[Category]],Categories[Category],Categories[Type],"",0,1)</f>
        <v>Income</v>
      </c>
      <c r="F45" s="3">
        <v>45350</v>
      </c>
      <c r="G45" s="1">
        <f>MONTH(Operations[[#This Row],[Date]])</f>
        <v>2</v>
      </c>
    </row>
    <row r="46" spans="1:7" hidden="1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Row],[Category]],Categories[Category],Categories[Type],"",0,1)</f>
        <v>Expense</v>
      </c>
      <c r="F46" s="3">
        <v>45352</v>
      </c>
      <c r="G46" s="1">
        <f>MONTH(Operations[[#This Row],[Date]])</f>
        <v>3</v>
      </c>
    </row>
    <row r="47" spans="1:7" hidden="1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Row],[Category]],Categories[Category],Categories[Type],"",0,1)</f>
        <v>Expense</v>
      </c>
      <c r="F47" s="3">
        <v>45353</v>
      </c>
      <c r="G47" s="1">
        <f>MONTH(Operations[[#This Row],[Date]])</f>
        <v>3</v>
      </c>
    </row>
    <row r="48" spans="1:7" hidden="1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Row],[Category]],Categories[Category],Categories[Type],"",0,1)</f>
        <v>Expense</v>
      </c>
      <c r="F48" s="3">
        <v>45353</v>
      </c>
      <c r="G48" s="1">
        <f>MONTH(Operations[[#This Row],[Date]])</f>
        <v>3</v>
      </c>
    </row>
    <row r="49" spans="1:7" hidden="1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Row],[Category]],Categories[Category],Categories[Type],"",0,1)</f>
        <v>Expense</v>
      </c>
      <c r="F49" s="3">
        <v>45355</v>
      </c>
      <c r="G49" s="1">
        <f>MONTH(Operations[[#This Row],[Date]])</f>
        <v>3</v>
      </c>
    </row>
    <row r="50" spans="1:7" hidden="1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Row],[Category]],Categories[Category],Categories[Type],"",0,1)</f>
        <v>Income</v>
      </c>
      <c r="F50" s="3">
        <v>45357</v>
      </c>
      <c r="G50" s="1">
        <f>MONTH(Operations[[#This Row],[Date]])</f>
        <v>3</v>
      </c>
    </row>
    <row r="51" spans="1:7" hidden="1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Row],[Category]],Categories[Category],Categories[Type],"",0,1)</f>
        <v>Expense</v>
      </c>
      <c r="F51" s="3">
        <v>45359</v>
      </c>
      <c r="G51" s="1">
        <f>MONTH(Operations[[#This Row],[Date]])</f>
        <v>3</v>
      </c>
    </row>
    <row r="52" spans="1:7" hidden="1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Row],[Category]],Categories[Category],Categories[Type],"",0,1)</f>
        <v>Income</v>
      </c>
      <c r="F52" s="3">
        <v>45361</v>
      </c>
      <c r="G52" s="1">
        <f>MONTH(Operations[[#This Row],[Date]])</f>
        <v>3</v>
      </c>
    </row>
    <row r="53" spans="1:7" hidden="1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Row],[Category]],Categories[Category],Categories[Type],"",0,1)</f>
        <v>Expense</v>
      </c>
      <c r="F53" s="3">
        <v>45362</v>
      </c>
      <c r="G53" s="1">
        <f>MONTH(Operations[[#This Row],[Date]])</f>
        <v>3</v>
      </c>
    </row>
    <row r="54" spans="1:7" hidden="1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Row],[Category]],Categories[Category],Categories[Type],"",0,1)</f>
        <v>Expense</v>
      </c>
      <c r="F54" s="3">
        <v>45363</v>
      </c>
      <c r="G54" s="1">
        <f>MONTH(Operations[[#This Row],[Date]])</f>
        <v>3</v>
      </c>
    </row>
    <row r="55" spans="1:7" hidden="1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Row],[Category]],Categories[Category],Categories[Type],"",0,1)</f>
        <v>Expense</v>
      </c>
      <c r="F55" s="3">
        <v>45364</v>
      </c>
      <c r="G55" s="1">
        <f>MONTH(Operations[[#This Row],[Date]])</f>
        <v>3</v>
      </c>
    </row>
    <row r="56" spans="1:7" hidden="1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Row],[Category]],Categories[Category],Categories[Type],"",0,1)</f>
        <v>Expense</v>
      </c>
      <c r="F56" s="3">
        <v>45368</v>
      </c>
      <c r="G56" s="1">
        <f>MONTH(Operations[[#This Row],[Date]])</f>
        <v>3</v>
      </c>
    </row>
    <row r="57" spans="1:7" hidden="1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Row],[Category]],Categories[Category],Categories[Type],"",0,1)</f>
        <v>Expense</v>
      </c>
      <c r="F57" s="3">
        <v>45371</v>
      </c>
      <c r="G57" s="1">
        <f>MONTH(Operations[[#This Row],[Date]])</f>
        <v>3</v>
      </c>
    </row>
    <row r="58" spans="1:7" hidden="1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Row],[Category]],Categories[Category],Categories[Type],"",0,1)</f>
        <v>Expense</v>
      </c>
      <c r="F58" s="3">
        <v>45373</v>
      </c>
      <c r="G58" s="1">
        <f>MONTH(Operations[[#This Row],[Date]])</f>
        <v>3</v>
      </c>
    </row>
    <row r="59" spans="1:7" hidden="1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Row],[Category]],Categories[Category],Categories[Type],"",0,1)</f>
        <v>Expense</v>
      </c>
      <c r="F59" s="3">
        <v>45375</v>
      </c>
      <c r="G59" s="1">
        <f>MONTH(Operations[[#This Row],[Date]])</f>
        <v>3</v>
      </c>
    </row>
    <row r="60" spans="1:7" hidden="1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Row],[Category]],Categories[Category],Categories[Type],"",0,1)</f>
        <v>Income</v>
      </c>
      <c r="F60" s="3">
        <v>45377</v>
      </c>
      <c r="G60" s="1">
        <f>MONTH(Operations[[#This Row],[Date]])</f>
        <v>3</v>
      </c>
    </row>
    <row r="61" spans="1:7" hidden="1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Row],[Category]],Categories[Category],Categories[Type],"",0,1)</f>
        <v>Expense</v>
      </c>
      <c r="F61" s="3">
        <v>45379</v>
      </c>
      <c r="G61" s="1">
        <f>MONTH(Operations[[#This Row],[Date]])</f>
        <v>3</v>
      </c>
    </row>
    <row r="62" spans="1:7" hidden="1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Row],[Category]],Categories[Category],Categories[Type],"",0,1)</f>
        <v>Expense</v>
      </c>
      <c r="F62" s="3">
        <v>45381</v>
      </c>
      <c r="G62" s="1">
        <f>MONTH(Operations[[#This Row],[Date]])</f>
        <v>3</v>
      </c>
    </row>
    <row r="63" spans="1:7" hidden="1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Row],[Category]],Categories[Category],Categories[Type],"",0,1)</f>
        <v>Expense</v>
      </c>
      <c r="F63" s="3">
        <v>45383</v>
      </c>
      <c r="G63" s="1">
        <f>MONTH(Operations[[#This Row],[Date]])</f>
        <v>4</v>
      </c>
    </row>
    <row r="64" spans="1:7" hidden="1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Row],[Category]],Categories[Category],Categories[Type],"",0,1)</f>
        <v>Expense</v>
      </c>
      <c r="F64" s="3">
        <v>45384</v>
      </c>
      <c r="G64" s="1">
        <f>MONTH(Operations[[#This Row],[Date]])</f>
        <v>4</v>
      </c>
    </row>
    <row r="65" spans="1:7" hidden="1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Row],[Category]],Categories[Category],Categories[Type],"",0,1)</f>
        <v>Income</v>
      </c>
      <c r="F65" s="3">
        <v>45388</v>
      </c>
      <c r="G65" s="1">
        <f>MONTH(Operations[[#This Row],[Date]])</f>
        <v>4</v>
      </c>
    </row>
    <row r="66" spans="1:7" hidden="1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Row],[Category]],Categories[Category],Categories[Type],"",0,1)</f>
        <v>Expense</v>
      </c>
      <c r="F66" s="3">
        <v>45389</v>
      </c>
      <c r="G66" s="1">
        <f>MONTH(Operations[[#This Row],[Date]])</f>
        <v>4</v>
      </c>
    </row>
    <row r="67" spans="1:7" hidden="1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Row],[Category]],Categories[Category],Categories[Type],"",0,1)</f>
        <v>Income</v>
      </c>
      <c r="F67" s="3">
        <v>45392</v>
      </c>
      <c r="G67" s="1">
        <f>MONTH(Operations[[#This Row],[Date]])</f>
        <v>4</v>
      </c>
    </row>
    <row r="68" spans="1:7" hidden="1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Row],[Category]],Categories[Category],Categories[Type],"",0,1)</f>
        <v>Expense</v>
      </c>
      <c r="F68" s="3">
        <v>45393</v>
      </c>
      <c r="G68" s="1">
        <f>MONTH(Operations[[#This Row],[Date]])</f>
        <v>4</v>
      </c>
    </row>
    <row r="69" spans="1:7" hidden="1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Row],[Category]],Categories[Category],Categories[Type],"",0,1)</f>
        <v>Expense</v>
      </c>
      <c r="F69" s="3">
        <v>45395</v>
      </c>
      <c r="G69" s="1">
        <f>MONTH(Operations[[#This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Row],[Category]],Categories[Category],Categories[Type],"",0,1)</f>
        <v>Transfert</v>
      </c>
      <c r="F70" s="3">
        <v>45397</v>
      </c>
      <c r="G70" s="1">
        <f>MONTH(Operations[[#This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Row],[Category]],Categories[Category],Categories[Type],"",0,1)</f>
        <v>Transfert</v>
      </c>
      <c r="F71" s="3">
        <v>45397</v>
      </c>
      <c r="G71" s="1">
        <f>MONTH(Operations[[#This Row],[Date]])</f>
        <v>4</v>
      </c>
    </row>
    <row r="72" spans="1:7" hidden="1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Row],[Category]],Categories[Category],Categories[Type],"",0,1)</f>
        <v>Expense</v>
      </c>
      <c r="F72" s="3">
        <v>45397</v>
      </c>
      <c r="G72" s="1">
        <f>MONTH(Operations[[#This Row],[Date]])</f>
        <v>4</v>
      </c>
    </row>
    <row r="73" spans="1:7" hidden="1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Row],[Category]],Categories[Category],Categories[Type],"",0,1)</f>
        <v>Expense</v>
      </c>
      <c r="F73" s="3">
        <v>45398</v>
      </c>
      <c r="G73" s="1">
        <f>MONTH(Operations[[#This Row],[Date]])</f>
        <v>4</v>
      </c>
    </row>
    <row r="74" spans="1:7" hidden="1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Row],[Category]],Categories[Category],Categories[Type],"",0,1)</f>
        <v>Expense</v>
      </c>
      <c r="F74" s="3">
        <v>45399</v>
      </c>
      <c r="G74" s="1">
        <f>MONTH(Operations[[#This Row],[Date]])</f>
        <v>4</v>
      </c>
    </row>
    <row r="75" spans="1:7" hidden="1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Row],[Category]],Categories[Category],Categories[Type],"",0,1)</f>
        <v>Expense</v>
      </c>
      <c r="F75" s="3">
        <v>45401</v>
      </c>
      <c r="G75" s="1">
        <f>MONTH(Operations[[#This Row],[Date]])</f>
        <v>4</v>
      </c>
    </row>
    <row r="76" spans="1:7" hidden="1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Row],[Category]],Categories[Category],Categories[Type],"",0,1)</f>
        <v>Expense</v>
      </c>
      <c r="F76" s="3">
        <v>45403</v>
      </c>
      <c r="G76" s="1">
        <f>MONTH(Operations[[#This Row],[Date]])</f>
        <v>4</v>
      </c>
    </row>
    <row r="77" spans="1:7" hidden="1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Row],[Category]],Categories[Category],Categories[Type],"",0,1)</f>
        <v>Expense</v>
      </c>
      <c r="F77" s="3">
        <v>45405</v>
      </c>
      <c r="G77" s="1">
        <f>MONTH(Operations[[#This Row],[Date]])</f>
        <v>4</v>
      </c>
    </row>
    <row r="78" spans="1:7" hidden="1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Row],[Category]],Categories[Category],Categories[Type],"",0,1)</f>
        <v>Income</v>
      </c>
      <c r="F78" s="3">
        <v>45407</v>
      </c>
      <c r="G78" s="1">
        <f>MONTH(Operations[[#This Row],[Date]])</f>
        <v>4</v>
      </c>
    </row>
    <row r="79" spans="1:7" hidden="1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Row],[Category]],Categories[Category],Categories[Type],"",0,1)</f>
        <v>Expense</v>
      </c>
      <c r="F79" s="3">
        <v>45409</v>
      </c>
      <c r="G79" s="1">
        <f>MONTH(Operations[[#This Row],[Date]])</f>
        <v>4</v>
      </c>
    </row>
    <row r="80" spans="1:7" hidden="1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Row],[Category]],Categories[Category],Categories[Type],"",0,1)</f>
        <v>Expense</v>
      </c>
      <c r="F80" s="3">
        <v>45410</v>
      </c>
      <c r="G80" s="1">
        <f>MONTH(Operations[[#This Row],[Date]])</f>
        <v>4</v>
      </c>
    </row>
    <row r="81" spans="1:7" hidden="1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Row],[Category]],Categories[Category],Categories[Type],"",0,1)</f>
        <v>Expense</v>
      </c>
      <c r="F81" s="3">
        <v>45411</v>
      </c>
      <c r="G81" s="1">
        <f>MONTH(Operations[[#This Row],[Date]])</f>
        <v>4</v>
      </c>
    </row>
    <row r="82" spans="1:7" hidden="1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Row],[Category]],Categories[Category],Categories[Type],"",0,1)</f>
        <v>Expense</v>
      </c>
      <c r="F82" s="3">
        <v>45419</v>
      </c>
      <c r="G82" s="1">
        <f>MONTH(Operations[[#This Row],[Date]])</f>
        <v>5</v>
      </c>
    </row>
    <row r="83" spans="1:7" hidden="1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Row],[Category]],Categories[Category],Categories[Type],"",0,1)</f>
        <v>Expense</v>
      </c>
      <c r="F83" s="3">
        <v>45422</v>
      </c>
      <c r="G83" s="1">
        <f>MONTH(Operations[[#This Row],[Date]])</f>
        <v>5</v>
      </c>
    </row>
    <row r="84" spans="1:7" hidden="1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Row],[Category]],Categories[Category],Categories[Type],"",0,1)</f>
        <v>Income</v>
      </c>
      <c r="F84" s="3">
        <v>45422</v>
      </c>
      <c r="G84" s="1">
        <f>MONTH(Operations[[#This Row],[Date]])</f>
        <v>5</v>
      </c>
    </row>
    <row r="85" spans="1:7" hidden="1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Row],[Category]],Categories[Category],Categories[Type],"",0,1)</f>
        <v>Expense</v>
      </c>
      <c r="F85" s="3">
        <v>45423</v>
      </c>
      <c r="G85" s="1">
        <f>MONTH(Operations[[#This Row],[Date]])</f>
        <v>5</v>
      </c>
    </row>
    <row r="86" spans="1:7" hidden="1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Row],[Category]],Categories[Category],Categories[Type],"",0,1)</f>
        <v>Expense</v>
      </c>
      <c r="F86" s="3">
        <v>45426</v>
      </c>
      <c r="G86" s="1">
        <f>MONTH(Operations[[#This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Row],[Category]],Categories[Category],Categories[Type],"",0,1)</f>
        <v>Transfert</v>
      </c>
      <c r="F87" s="3">
        <v>45427</v>
      </c>
      <c r="G87" s="1">
        <f>MONTH(Operations[[#This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Row],[Category]],Categories[Category],Categories[Type],"",0,1)</f>
        <v>Transfert</v>
      </c>
      <c r="F88" s="3">
        <v>45427</v>
      </c>
      <c r="G88" s="1">
        <f>MONTH(Operations[[#This Row],[Date]])</f>
        <v>5</v>
      </c>
    </row>
    <row r="89" spans="1:7" hidden="1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Row],[Category]],Categories[Category],Categories[Type],"",0,1)</f>
        <v>Expense</v>
      </c>
      <c r="F89" s="3">
        <v>45433</v>
      </c>
      <c r="G89" s="1">
        <f>MONTH(Operations[[#This Row],[Date]])</f>
        <v>5</v>
      </c>
    </row>
    <row r="90" spans="1:7" hidden="1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Row],[Category]],Categories[Category],Categories[Type],"",0,1)</f>
        <v>Expense</v>
      </c>
      <c r="F90" s="3">
        <v>45440</v>
      </c>
      <c r="G90" s="1">
        <f>MONTH(Operations[[#This Row],[Date]])</f>
        <v>5</v>
      </c>
    </row>
    <row r="91" spans="1:7" hidden="1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Row],[Category]],Categories[Category],Categories[Type],"",0,1)</f>
        <v>Expense</v>
      </c>
      <c r="F91" s="3">
        <v>45441</v>
      </c>
      <c r="G91" s="1">
        <f>MONTH(Operations[[#This Row],[Date]])</f>
        <v>5</v>
      </c>
    </row>
    <row r="92" spans="1:7" hidden="1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Row],[Category]],Categories[Category],Categories[Type],"",0,1)</f>
        <v>Expense</v>
      </c>
      <c r="F92" s="3">
        <v>45442</v>
      </c>
      <c r="G92" s="1">
        <f>MONTH(Operations[[#This Row],[Date]])</f>
        <v>5</v>
      </c>
    </row>
    <row r="93" spans="1:7" hidden="1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Row],[Category]],Categories[Category],Categories[Type],"",0,1)</f>
        <v>Expense</v>
      </c>
      <c r="F93" s="3">
        <v>45450</v>
      </c>
      <c r="G93" s="1">
        <f>MONTH(Operations[[#This Row],[Date]])</f>
        <v>6</v>
      </c>
    </row>
    <row r="94" spans="1:7" hidden="1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Row],[Category]],Categories[Category],Categories[Type],"",0,1)</f>
        <v>Expense</v>
      </c>
      <c r="F94" s="3">
        <v>45453</v>
      </c>
      <c r="G94" s="1">
        <f>MONTH(Operations[[#This Row],[Date]])</f>
        <v>6</v>
      </c>
    </row>
    <row r="95" spans="1:7" hidden="1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Row],[Category]],Categories[Category],Categories[Type],"",0,1)</f>
        <v>Income</v>
      </c>
      <c r="F95" s="3">
        <v>45453</v>
      </c>
      <c r="G95" s="1">
        <f>MONTH(Operations[[#This Row],[Date]])</f>
        <v>6</v>
      </c>
    </row>
    <row r="96" spans="1:7" hidden="1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Row],[Category]],Categories[Category],Categories[Type],"",0,1)</f>
        <v>Expense</v>
      </c>
      <c r="F96" s="3">
        <v>45454</v>
      </c>
      <c r="G96" s="1">
        <f>MONTH(Operations[[#This Row],[Date]])</f>
        <v>6</v>
      </c>
    </row>
    <row r="97" spans="1:7" hidden="1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Row],[Category]],Categories[Category],Categories[Type],"",0,1)</f>
        <v>Expense</v>
      </c>
      <c r="F97" s="3">
        <v>45457</v>
      </c>
      <c r="G97" s="1">
        <f>MONTH(Operations[[#This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Row],[Category]],Categories[Category],Categories[Type],"",0,1)</f>
        <v>Transfert</v>
      </c>
      <c r="F98" s="3">
        <v>45458</v>
      </c>
      <c r="G98" s="1">
        <f>MONTH(Operations[[#This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Row],[Category]],Categories[Category],Categories[Type],"",0,1)</f>
        <v>Transfert</v>
      </c>
      <c r="F99" s="3">
        <v>45458</v>
      </c>
      <c r="G99" s="1">
        <f>MONTH(Operations[[#This Row],[Date]])</f>
        <v>6</v>
      </c>
    </row>
    <row r="100" spans="1:7" hidden="1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Row],[Category]],Categories[Category],Categories[Type],"",0,1)</f>
        <v>Expense</v>
      </c>
      <c r="F100" s="3">
        <v>45458</v>
      </c>
      <c r="G100" s="1">
        <f>MONTH(Operations[[#This Row],[Date]])</f>
        <v>6</v>
      </c>
    </row>
    <row r="101" spans="1:7" hidden="1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Row],[Category]],Categories[Category],Categories[Type],"",0,1)</f>
        <v>Expense</v>
      </c>
      <c r="F101" s="3">
        <v>45464</v>
      </c>
      <c r="G101" s="1">
        <f>MONTH(Operations[[#This Row],[Date]])</f>
        <v>6</v>
      </c>
    </row>
    <row r="102" spans="1:7" hidden="1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Row],[Category]],Categories[Category],Categories[Type],"",0,1)</f>
        <v>Expense</v>
      </c>
      <c r="F102" s="3">
        <v>45471</v>
      </c>
      <c r="G102" s="1">
        <f>MONTH(Operations[[#This Row],[Date]])</f>
        <v>6</v>
      </c>
    </row>
    <row r="103" spans="1:7" hidden="1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Row],[Category]],Categories[Category],Categories[Type],"",0,1)</f>
        <v>Expense</v>
      </c>
      <c r="F103" s="3">
        <v>45471</v>
      </c>
      <c r="G103" s="1">
        <f>MONTH(Operations[[#This Row],[Date]])</f>
        <v>6</v>
      </c>
    </row>
    <row r="104" spans="1:7" hidden="1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Row],[Category]],Categories[Category],Categories[Type],"",0,1)</f>
        <v>Expense</v>
      </c>
      <c r="F104" s="3">
        <v>45472</v>
      </c>
      <c r="G104" s="1">
        <f>MONTH(Operations[[#This Row],[Date]])</f>
        <v>6</v>
      </c>
    </row>
    <row r="105" spans="1:7" hidden="1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Row],[Category]],Categories[Category],Categories[Type],"",0,1)</f>
        <v>Income</v>
      </c>
      <c r="F105" s="3">
        <v>45472</v>
      </c>
      <c r="G105" s="1">
        <f>MONTH(Operations[[#This Row],[Date]])</f>
        <v>6</v>
      </c>
    </row>
    <row r="106" spans="1:7" hidden="1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Row],[Category]],Categories[Category],Categories[Type],"",0,1)</f>
        <v>Expense</v>
      </c>
      <c r="F106" s="3">
        <v>45473</v>
      </c>
      <c r="G106" s="1">
        <f>MONTH(Operations[[#This Row],[Date]])</f>
        <v>6</v>
      </c>
    </row>
    <row r="107" spans="1:7" hidden="1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Row],[Category]],Categories[Category],Categories[Type],"",0,1)</f>
        <v>Expense</v>
      </c>
      <c r="F107" s="3">
        <v>45476</v>
      </c>
      <c r="G107" s="1">
        <f>MONTH(Operations[[#This Row],[Date]])</f>
        <v>7</v>
      </c>
    </row>
    <row r="108" spans="1:7" hidden="1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Row],[Category]],Categories[Category],Categories[Type],"",0,1)</f>
        <v>Expense</v>
      </c>
      <c r="F108" s="3">
        <v>45480</v>
      </c>
      <c r="G108" s="1">
        <f>MONTH(Operations[[#This Row],[Date]])</f>
        <v>7</v>
      </c>
    </row>
    <row r="109" spans="1:7" hidden="1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Row],[Category]],Categories[Category],Categories[Type],"",0,1)</f>
        <v>Income</v>
      </c>
      <c r="F109" s="3">
        <v>45483</v>
      </c>
      <c r="G109" s="1">
        <f>MONTH(Operations[[#This Row],[Date]])</f>
        <v>7</v>
      </c>
    </row>
    <row r="110" spans="1:7" hidden="1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Row],[Category]],Categories[Category],Categories[Type],"",0,1)</f>
        <v>Expense</v>
      </c>
      <c r="F110" s="3">
        <v>45484</v>
      </c>
      <c r="G110" s="1">
        <f>MONTH(Operations[[#This Row],[Date]])</f>
        <v>7</v>
      </c>
    </row>
    <row r="111" spans="1:7" hidden="1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Row],[Category]],Categories[Category],Categories[Type],"",0,1)</f>
        <v>Expense</v>
      </c>
      <c r="F111" s="3">
        <v>45487</v>
      </c>
      <c r="G111" s="1">
        <f>MONTH(Operations[[#This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Row],[Category]],Categories[Category],Categories[Type],"",0,1)</f>
        <v>Transfert</v>
      </c>
      <c r="F112" s="3">
        <v>45488</v>
      </c>
      <c r="G112" s="1">
        <f>MONTH(Operations[[#This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Row],[Category]],Categories[Category],Categories[Type],"",0,1)</f>
        <v>Transfert</v>
      </c>
      <c r="F113" s="3">
        <v>45488</v>
      </c>
      <c r="G113" s="1">
        <f>MONTH(Operations[[#This Row],[Date]])</f>
        <v>7</v>
      </c>
    </row>
    <row r="114" spans="1:7" hidden="1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Row],[Category]],Categories[Category],Categories[Type],"",0,1)</f>
        <v>Expense</v>
      </c>
      <c r="F114" s="3">
        <v>45489</v>
      </c>
      <c r="G114" s="1">
        <f>MONTH(Operations[[#This Row],[Date]])</f>
        <v>7</v>
      </c>
    </row>
    <row r="115" spans="1:7" hidden="1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Row],[Category]],Categories[Category],Categories[Type],"",0,1)</f>
        <v>Income</v>
      </c>
      <c r="F115" s="3">
        <v>45491</v>
      </c>
      <c r="G115" s="1">
        <f>MONTH(Operations[[#This Row],[Date]])</f>
        <v>7</v>
      </c>
    </row>
    <row r="116" spans="1:7" hidden="1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Row],[Category]],Categories[Category],Categories[Type],"",0,1)</f>
        <v>Expense</v>
      </c>
      <c r="F116" s="3">
        <v>45494</v>
      </c>
      <c r="G116" s="1">
        <f>MONTH(Operations[[#This Row],[Date]])</f>
        <v>7</v>
      </c>
    </row>
    <row r="117" spans="1:7" hidden="1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Row],[Category]],Categories[Category],Categories[Type],"",0,1)</f>
        <v>Income</v>
      </c>
      <c r="F117" s="3">
        <v>45495</v>
      </c>
      <c r="G117" s="1">
        <f>MONTH(Operations[[#This Row],[Date]])</f>
        <v>7</v>
      </c>
    </row>
    <row r="118" spans="1:7" hidden="1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Row],[Category]],Categories[Category],Categories[Type],"",0,1)</f>
        <v>Expense</v>
      </c>
      <c r="F118" s="3">
        <v>45497</v>
      </c>
      <c r="G118" s="1">
        <f>MONTH(Operations[[#This Row],[Date]])</f>
        <v>7</v>
      </c>
    </row>
    <row r="119" spans="1:7" hidden="1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Row],[Category]],Categories[Category],Categories[Type],"",0,1)</f>
        <v>Expense</v>
      </c>
      <c r="F119" s="3">
        <v>45499</v>
      </c>
      <c r="G119" s="1">
        <f>MONTH(Operations[[#This Row],[Date]])</f>
        <v>7</v>
      </c>
    </row>
    <row r="120" spans="1:7" hidden="1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Row],[Category]],Categories[Category],Categories[Type],"",0,1)</f>
        <v>Expense</v>
      </c>
      <c r="F120" s="3">
        <v>45502</v>
      </c>
      <c r="G120" s="1">
        <f>MONTH(Operations[[#This Row],[Date]])</f>
        <v>7</v>
      </c>
    </row>
    <row r="121" spans="1:7" hidden="1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Row],[Category]],Categories[Category],Categories[Type],"",0,1)</f>
        <v>Income</v>
      </c>
      <c r="F121" s="3">
        <v>45503</v>
      </c>
      <c r="G121" s="1">
        <f>MONTH(Operations[[#This Row],[Date]])</f>
        <v>7</v>
      </c>
    </row>
    <row r="122" spans="1:7" hidden="1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Row],[Category]],Categories[Category],Categories[Type],"",0,1)</f>
        <v>Expense</v>
      </c>
      <c r="F122" s="3">
        <v>45504</v>
      </c>
      <c r="G122" s="1">
        <f>MONTH(Operations[[#This Row],[Date]])</f>
        <v>7</v>
      </c>
    </row>
    <row r="123" spans="1:7" hidden="1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Row],[Category]],Categories[Category],Categories[Type],"",0,1)</f>
        <v>Expense</v>
      </c>
      <c r="F123" s="3">
        <v>45505</v>
      </c>
      <c r="G123" s="1">
        <f>MONTH(Operations[[#This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Row],[Category]],Categories[Category],Categories[Type],"",0,1)</f>
        <v>Transfert</v>
      </c>
      <c r="F124" s="3">
        <v>45505</v>
      </c>
      <c r="G124" s="1">
        <f>MONTH(Operations[[#This Row],[Date]])</f>
        <v>8</v>
      </c>
    </row>
    <row r="125" spans="1:7" hidden="1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Row],[Category]],Categories[Category],Categories[Type],"",0,1)</f>
        <v>Expense</v>
      </c>
      <c r="F125" s="3">
        <v>45505</v>
      </c>
      <c r="G125" s="1">
        <f>MONTH(Operations[[#This Row],[Date]])</f>
        <v>8</v>
      </c>
    </row>
    <row r="126" spans="1:7" hidden="1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Row],[Category]],Categories[Category],Categories[Type],"",0,1)</f>
        <v>Expense</v>
      </c>
      <c r="F126" s="3">
        <v>45513</v>
      </c>
      <c r="G126" s="1">
        <f>MONTH(Operations[[#This Row],[Date]])</f>
        <v>8</v>
      </c>
    </row>
    <row r="127" spans="1:7" hidden="1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Row],[Category]],Categories[Category],Categories[Type],"",0,1)</f>
        <v>Income</v>
      </c>
      <c r="F127" s="3">
        <v>45514</v>
      </c>
      <c r="G127" s="1">
        <f>MONTH(Operations[[#This Row],[Date]])</f>
        <v>8</v>
      </c>
    </row>
    <row r="128" spans="1:7" hidden="1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Row],[Category]],Categories[Category],Categories[Type],"",0,1)</f>
        <v>Expense</v>
      </c>
      <c r="F128" s="3">
        <v>45515</v>
      </c>
      <c r="G128" s="1">
        <f>MONTH(Operations[[#This Row],[Date]])</f>
        <v>8</v>
      </c>
    </row>
    <row r="129" spans="1:7" hidden="1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Row],[Category]],Categories[Category],Categories[Type],"",0,1)</f>
        <v>Expense</v>
      </c>
      <c r="F129" s="3">
        <v>45518</v>
      </c>
      <c r="G129" s="1">
        <f>MONTH(Operations[[#This Row],[Date]])</f>
        <v>8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Row],[Category]],Categories[Category],Categories[Type],"",0,1)</f>
        <v>Transfert</v>
      </c>
      <c r="F130" s="3">
        <v>45519</v>
      </c>
      <c r="G130" s="1">
        <f>MONTH(Operations[[#This Row],[Date]])</f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Row],[Category]],Categories[Category],Categories[Type],"",0,1)</f>
        <v>Transfert</v>
      </c>
      <c r="F131" s="3">
        <v>45519</v>
      </c>
      <c r="G131" s="1">
        <f>MONTH(Operations[[#This Row],[Date]])</f>
        <v>8</v>
      </c>
    </row>
    <row r="132" spans="1:7" hidden="1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Row],[Category]],Categories[Category],Categories[Type],"",0,1)</f>
        <v>Expense</v>
      </c>
      <c r="F132" s="3">
        <v>45520</v>
      </c>
      <c r="G132" s="1">
        <f>MONTH(Operations[[#This Row],[Date]])</f>
        <v>8</v>
      </c>
    </row>
    <row r="133" spans="1:7" hidden="1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Row],[Category]],Categories[Category],Categories[Type],"",0,1)</f>
        <v>Expense</v>
      </c>
      <c r="F133" s="3">
        <v>45522</v>
      </c>
      <c r="G133" s="1">
        <f>MONTH(Operations[[#This Row],[Date]])</f>
        <v>8</v>
      </c>
    </row>
    <row r="134" spans="1:7" hidden="1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Row],[Category]],Categories[Category],Categories[Type],"",0,1)</f>
        <v>Income</v>
      </c>
      <c r="F134" s="3">
        <v>45524</v>
      </c>
      <c r="G134" s="1">
        <f>MONTH(Operations[[#This Row],[Date]])</f>
        <v>8</v>
      </c>
    </row>
    <row r="135" spans="1:7" hidden="1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Row],[Category]],Categories[Category],Categories[Type],"",0,1)</f>
        <v>Expense</v>
      </c>
      <c r="F135" s="3">
        <v>45526</v>
      </c>
      <c r="G135" s="1">
        <f>MONTH(Operations[[#This Row],[Date]])</f>
        <v>8</v>
      </c>
    </row>
    <row r="136" spans="1:7" hidden="1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Row],[Category]],Categories[Category],Categories[Type],"",0,1)</f>
        <v>Expense</v>
      </c>
      <c r="F136" s="3">
        <v>45527</v>
      </c>
      <c r="G136" s="1">
        <f>MONTH(Operations[[#This Row],[Date]])</f>
        <v>8</v>
      </c>
    </row>
    <row r="137" spans="1:7" hidden="1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Row],[Category]],Categories[Category],Categories[Type],"",0,1)</f>
        <v>Expense</v>
      </c>
      <c r="F137" s="3">
        <v>45528</v>
      </c>
      <c r="G137" s="1">
        <f>MONTH(Operations[[#This Row],[Date]])</f>
        <v>8</v>
      </c>
    </row>
    <row r="138" spans="1:7" hidden="1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Row],[Category]],Categories[Category],Categories[Type],"",0,1)</f>
        <v>Expense</v>
      </c>
      <c r="F138" s="3">
        <v>45531</v>
      </c>
      <c r="G138" s="1">
        <f>MONTH(Operations[[#This Row],[Date]])</f>
        <v>8</v>
      </c>
    </row>
    <row r="139" spans="1:7" hidden="1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Row],[Category]],Categories[Category],Categories[Type],"",0,1)</f>
        <v>Income</v>
      </c>
      <c r="F139" s="3">
        <v>45534</v>
      </c>
      <c r="G139" s="1">
        <f>MONTH(Operations[[#This Row],[Date]])</f>
        <v>8</v>
      </c>
    </row>
    <row r="140" spans="1:7" hidden="1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Row],[Category]],Categories[Category],Categories[Type],"",0,1)</f>
        <v>Income</v>
      </c>
      <c r="F140" s="3">
        <v>45535</v>
      </c>
      <c r="G140" s="1">
        <f>MONTH(Operations[[#This Row],[Date]])</f>
        <v>8</v>
      </c>
    </row>
    <row r="141" spans="1:7" hidden="1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Row],[Category]],Categories[Category],Categories[Type],"",0,1)</f>
        <v>Expense</v>
      </c>
      <c r="F141" s="3">
        <v>45536</v>
      </c>
      <c r="G141" s="1">
        <f>MONTH(Operations[[#This Row],[Date]])</f>
        <v>9</v>
      </c>
    </row>
    <row r="142" spans="1:7" hidden="1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Row],[Category]],Categories[Category],Categories[Type],"",0,1)</f>
        <v>Expense</v>
      </c>
      <c r="F142" s="3">
        <v>45539</v>
      </c>
      <c r="G142" s="1">
        <f>MONTH(Operations[[#This Row],[Date]])</f>
        <v>9</v>
      </c>
    </row>
    <row r="143" spans="1:7" hidden="1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Row],[Category]],Categories[Category],Categories[Type],"",0,1)</f>
        <v>Expense</v>
      </c>
      <c r="F143" s="3">
        <v>45542</v>
      </c>
      <c r="G143" s="1">
        <f>MONTH(Operations[[#This Row],[Date]])</f>
        <v>9</v>
      </c>
    </row>
    <row r="144" spans="1:7" hidden="1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Row],[Category]],Categories[Category],Categories[Type],"",0,1)</f>
        <v>Expense</v>
      </c>
      <c r="F144" s="3">
        <v>45543</v>
      </c>
      <c r="G144" s="1">
        <f>MONTH(Operations[[#This Row],[Date]])</f>
        <v>9</v>
      </c>
    </row>
    <row r="145" spans="1:7" hidden="1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Row],[Category]],Categories[Category],Categories[Type],"",0,1)</f>
        <v>Income</v>
      </c>
      <c r="F145" s="3">
        <v>45545</v>
      </c>
      <c r="G145" s="1">
        <f>MONTH(Operations[[#This Row],[Date]])</f>
        <v>9</v>
      </c>
    </row>
    <row r="146" spans="1:7" hidden="1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Row],[Category]],Categories[Category],Categories[Type],"",0,1)</f>
        <v>Expense</v>
      </c>
      <c r="F146" s="3">
        <v>45546</v>
      </c>
      <c r="G146" s="1">
        <f>MONTH(Operations[[#This Row],[Date]])</f>
        <v>9</v>
      </c>
    </row>
    <row r="147" spans="1:7" hidden="1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Row],[Category]],Categories[Category],Categories[Type],"",0,1)</f>
        <v>Expense</v>
      </c>
      <c r="F147" s="3">
        <v>45546</v>
      </c>
      <c r="G147" s="1">
        <f>MONTH(Operations[[#This Row],[Date]])</f>
        <v>9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Row],[Category]],Categories[Category],Categories[Type],"",0,1)</f>
        <v>Transfert</v>
      </c>
      <c r="F148" s="3">
        <v>45550</v>
      </c>
      <c r="G148" s="1">
        <f>MONTH(Operations[[#This Row],[Date]])</f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Row],[Category]],Categories[Category],Categories[Type],"",0,1)</f>
        <v>Transfert</v>
      </c>
      <c r="F149" s="3">
        <v>45550</v>
      </c>
      <c r="G149" s="1">
        <f>MONTH(Operations[[#This Row],[Date]])</f>
        <v>9</v>
      </c>
    </row>
    <row r="150" spans="1:7" hidden="1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Row],[Category]],Categories[Category],Categories[Type],"",0,1)</f>
        <v>Expense</v>
      </c>
      <c r="F150" s="3">
        <v>45553</v>
      </c>
      <c r="G150" s="1">
        <f>MONTH(Operations[[#This Row],[Date]])</f>
        <v>9</v>
      </c>
    </row>
    <row r="151" spans="1:7" hidden="1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Row],[Category]],Categories[Category],Categories[Type],"",0,1)</f>
        <v>Expense</v>
      </c>
      <c r="F151" s="3">
        <v>45566</v>
      </c>
      <c r="G151" s="1">
        <f>MONTH(Operations[[#This Row],[Date]])</f>
        <v>10</v>
      </c>
    </row>
    <row r="152" spans="1:7" hidden="1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Row],[Category]],Categories[Category],Categories[Type],"",0,1)</f>
        <v>Expense</v>
      </c>
      <c r="F152" s="3">
        <v>45572</v>
      </c>
      <c r="G152" s="1">
        <f>MONTH(Operations[[#This Row],[Date]])</f>
        <v>10</v>
      </c>
    </row>
    <row r="153" spans="1:7" hidden="1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Row],[Category]],Categories[Category],Categories[Type],"",0,1)</f>
        <v>Expense</v>
      </c>
      <c r="F153" s="3">
        <v>45573</v>
      </c>
      <c r="G153" s="1">
        <f>MONTH(Operations[[#This Row],[Date]])</f>
        <v>10</v>
      </c>
    </row>
    <row r="154" spans="1:7" hidden="1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Row],[Category]],Categories[Category],Categories[Type],"",0,1)</f>
        <v>Income</v>
      </c>
      <c r="F154" s="3">
        <v>45575</v>
      </c>
      <c r="G154" s="1">
        <f>MONTH(Operations[[#This Row],[Date]])</f>
        <v>10</v>
      </c>
    </row>
    <row r="155" spans="1:7" hidden="1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Row],[Category]],Categories[Category],Categories[Type],"",0,1)</f>
        <v>Expense</v>
      </c>
      <c r="F155" s="3">
        <v>45576</v>
      </c>
      <c r="G155" s="1">
        <f>MONTH(Operations[[#This Row],[Date]])</f>
        <v>10</v>
      </c>
    </row>
    <row r="156" spans="1:7" hidden="1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Row],[Category]],Categories[Category],Categories[Type],"",0,1)</f>
        <v>Expense</v>
      </c>
      <c r="F156" s="3">
        <v>45576</v>
      </c>
      <c r="G156" s="1">
        <f>MONTH(Operations[[#This Row],[Date]])</f>
        <v>10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Row],[Category]],Categories[Category],Categories[Type],"",0,1)</f>
        <v>Transfert</v>
      </c>
      <c r="F157" s="3">
        <v>45580</v>
      </c>
      <c r="G157" s="1">
        <f>MONTH(Operations[[#This Row],[Date]])</f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Row],[Category]],Categories[Category],Categories[Type],"",0,1)</f>
        <v>Transfert</v>
      </c>
      <c r="F158" s="3">
        <v>45580</v>
      </c>
      <c r="G158" s="1">
        <f>MONTH(Operations[[#This Row],[Date]])</f>
        <v>10</v>
      </c>
    </row>
    <row r="159" spans="1:7" hidden="1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Row],[Category]],Categories[Category],Categories[Type],"",0,1)</f>
        <v>Income</v>
      </c>
      <c r="F159" s="3">
        <v>45606</v>
      </c>
      <c r="G159" s="1">
        <f>MONTH(Operations[[#This Row],[Date]])</f>
        <v>11</v>
      </c>
    </row>
    <row r="160" spans="1:7" hidden="1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Row],[Category]],Categories[Category],Categories[Type],"",0,1)</f>
        <v>Expense</v>
      </c>
      <c r="F160" s="3">
        <v>45607</v>
      </c>
      <c r="G160" s="1">
        <f>MONTH(Operations[[#This Row],[Date]])</f>
        <v>11</v>
      </c>
    </row>
    <row r="161" spans="1:7" hidden="1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Row],[Category]],Categories[Category],Categories[Type],"",0,1)</f>
        <v>Expense</v>
      </c>
      <c r="F161" s="3">
        <v>45607</v>
      </c>
      <c r="G161" s="1">
        <f>MONTH(Operations[[#This Row],[Date]])</f>
        <v>11</v>
      </c>
    </row>
    <row r="162" spans="1:7" hidden="1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Row],[Category]],Categories[Category],Categories[Type],"",0,1)</f>
        <v>Expense</v>
      </c>
      <c r="F162" s="3">
        <v>45607</v>
      </c>
      <c r="G162" s="1">
        <f>MONTH(Operations[[#This Row],[Date]])</f>
        <v>11</v>
      </c>
    </row>
    <row r="163" spans="1:7" hidden="1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Row],[Category]],Categories[Category],Categories[Type],"",0,1)</f>
        <v>Expense</v>
      </c>
      <c r="F163" s="3">
        <v>45608</v>
      </c>
      <c r="G163" s="1">
        <f>MONTH(Operations[[#This Row],[Date]])</f>
        <v>11</v>
      </c>
    </row>
    <row r="164" spans="1:7" hidden="1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Row],[Category]],Categories[Category],Categories[Type],"",0,1)</f>
        <v>Expense</v>
      </c>
      <c r="F164" s="3">
        <v>45610</v>
      </c>
      <c r="G164" s="1">
        <f>MONTH(Operations[[#This Row],[Date]])</f>
        <v>11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Row],[Category]],Categories[Category],Categories[Type],"",0,1)</f>
        <v>Transfert</v>
      </c>
      <c r="F165" s="3">
        <v>45611</v>
      </c>
      <c r="G165" s="1">
        <f>MONTH(Operations[[#This Row],[Date]])</f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Row],[Category]],Categories[Category],Categories[Type],"",0,1)</f>
        <v>Transfert</v>
      </c>
      <c r="F166" s="3">
        <v>45611</v>
      </c>
      <c r="G166" s="1">
        <f>MONTH(Operations[[#This Row],[Date]])</f>
        <v>11</v>
      </c>
    </row>
    <row r="167" spans="1:7" hidden="1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Row],[Category]],Categories[Category],Categories[Type],"",0,1)</f>
        <v>Expense</v>
      </c>
      <c r="F167" s="3">
        <v>45612</v>
      </c>
      <c r="G167" s="1">
        <f>MONTH(Operations[[#This Row],[Date]])</f>
        <v>11</v>
      </c>
    </row>
    <row r="168" spans="1:7" hidden="1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Row],[Category]],Categories[Category],Categories[Type],"",0,1)</f>
        <v>Expense</v>
      </c>
      <c r="F168" s="3">
        <v>45613</v>
      </c>
      <c r="G168" s="1">
        <f>MONTH(Operations[[#This Row],[Date]])</f>
        <v>11</v>
      </c>
    </row>
    <row r="169" spans="1:7" hidden="1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Row],[Category]],Categories[Category],Categories[Type],"",0,1)</f>
        <v>Expense</v>
      </c>
      <c r="F169" s="3">
        <v>45613</v>
      </c>
      <c r="G169" s="1">
        <f>MONTH(Operations[[#This Row],[Date]])</f>
        <v>11</v>
      </c>
    </row>
    <row r="170" spans="1:7" hidden="1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Row],[Category]],Categories[Category],Categories[Type],"",0,1)</f>
        <v>Expense</v>
      </c>
      <c r="F170" s="3">
        <v>45615</v>
      </c>
      <c r="G170" s="1">
        <f>MONTH(Operations[[#This Row],[Date]])</f>
        <v>11</v>
      </c>
    </row>
    <row r="171" spans="1:7" hidden="1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Row],[Category]],Categories[Category],Categories[Type],"",0,1)</f>
        <v>Expense</v>
      </c>
      <c r="F171" s="3">
        <v>45616</v>
      </c>
      <c r="G171" s="1">
        <f>MONTH(Operations[[#This Row],[Date]])</f>
        <v>11</v>
      </c>
    </row>
    <row r="172" spans="1:7" hidden="1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Row],[Category]],Categories[Category],Categories[Type],"",0,1)</f>
        <v>Expense</v>
      </c>
      <c r="F172" s="3">
        <v>45617</v>
      </c>
      <c r="G172" s="1">
        <f>MONTH(Operations[[#This Row],[Date]])</f>
        <v>11</v>
      </c>
    </row>
    <row r="173" spans="1:7" hidden="1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Row],[Category]],Categories[Category],Categories[Type],"",0,1)</f>
        <v>Expense</v>
      </c>
      <c r="F173" s="3">
        <v>45618</v>
      </c>
      <c r="G173" s="1">
        <f>MONTH(Operations[[#This Row],[Date]])</f>
        <v>11</v>
      </c>
    </row>
    <row r="174" spans="1:7" hidden="1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Row],[Category]],Categories[Category],Categories[Type],"",0,1)</f>
        <v>Expense</v>
      </c>
      <c r="F174" s="3">
        <v>45618</v>
      </c>
      <c r="G174" s="1">
        <f>MONTH(Operations[[#This Row],[Date]])</f>
        <v>11</v>
      </c>
    </row>
    <row r="175" spans="1:7" hidden="1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Row],[Category]],Categories[Category],Categories[Type],"",0,1)</f>
        <v>Expense</v>
      </c>
      <c r="F175" s="3">
        <v>45618</v>
      </c>
      <c r="G175" s="1">
        <f>MONTH(Operations[[#This Row],[Date]])</f>
        <v>11</v>
      </c>
    </row>
    <row r="176" spans="1:7" hidden="1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Row],[Category]],Categories[Category],Categories[Type],"",0,1)</f>
        <v>Expense</v>
      </c>
      <c r="F176" s="3">
        <v>45619</v>
      </c>
      <c r="G176" s="1">
        <f>MONTH(Operations[[#This Row],[Date]])</f>
        <v>11</v>
      </c>
    </row>
    <row r="177" spans="1:7" hidden="1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Row],[Category]],Categories[Category],Categories[Type],"",0,1)</f>
        <v>Expense</v>
      </c>
      <c r="F177" s="3">
        <v>45619</v>
      </c>
      <c r="G177" s="1">
        <f>MONTH(Operations[[#This Row],[Date]])</f>
        <v>11</v>
      </c>
    </row>
    <row r="178" spans="1:7" hidden="1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Row],[Category]],Categories[Category],Categories[Type],"",0,1)</f>
        <v>Expense</v>
      </c>
      <c r="F178" s="3">
        <v>45621</v>
      </c>
      <c r="G178" s="1">
        <f>MONTH(Operations[[#This Row],[Date]])</f>
        <v>11</v>
      </c>
    </row>
    <row r="179" spans="1:7" hidden="1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Row],[Category]],Categories[Category],Categories[Type],"",0,1)</f>
        <v>Expense</v>
      </c>
      <c r="F179" s="3">
        <v>45622</v>
      </c>
      <c r="G179" s="1">
        <f>MONTH(Operations[[#This Row],[Date]])</f>
        <v>11</v>
      </c>
    </row>
    <row r="180" spans="1:7" hidden="1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Row],[Category]],Categories[Category],Categories[Type],"",0,1)</f>
        <v>Expense</v>
      </c>
      <c r="F180" s="3">
        <v>45623</v>
      </c>
      <c r="G180" s="1">
        <f>MONTH(Operations[[#This Row],[Date]])</f>
        <v>11</v>
      </c>
    </row>
    <row r="181" spans="1:7" hidden="1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Row],[Category]],Categories[Category],Categories[Type],"",0,1)</f>
        <v>Expense</v>
      </c>
      <c r="F181" s="3">
        <v>45623</v>
      </c>
      <c r="G181" s="1">
        <f>MONTH(Operations[[#This Row],[Date]])</f>
        <v>11</v>
      </c>
    </row>
    <row r="182" spans="1:7" hidden="1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Row],[Category]],Categories[Category],Categories[Type],"",0,1)</f>
        <v>Expense</v>
      </c>
      <c r="F182" s="3">
        <v>45623</v>
      </c>
      <c r="G182" s="1">
        <f>MONTH(Operations[[#This Row],[Date]])</f>
        <v>11</v>
      </c>
    </row>
    <row r="183" spans="1:7" hidden="1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Row],[Category]],Categories[Category],Categories[Type],"",0,1)</f>
        <v>Expense</v>
      </c>
      <c r="F183" s="3">
        <v>45624</v>
      </c>
      <c r="G183" s="1">
        <f>MONTH(Operations[[#This Row],[Date]])</f>
        <v>11</v>
      </c>
    </row>
    <row r="184" spans="1:7" hidden="1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Row],[Category]],Categories[Category],Categories[Type],"",0,1)</f>
        <v>Income</v>
      </c>
      <c r="F184" s="3">
        <v>45625</v>
      </c>
      <c r="G184" s="1">
        <f>MONTH(Operations[[#This Row],[Date]])</f>
        <v>11</v>
      </c>
    </row>
    <row r="185" spans="1:7" hidden="1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Row],[Category]],Categories[Category],Categories[Type],"",0,1)</f>
        <v>Expense</v>
      </c>
      <c r="F185" s="3">
        <v>45626</v>
      </c>
      <c r="G185" s="1">
        <f>MONTH(Operations[[#This Row],[Date]])</f>
        <v>11</v>
      </c>
    </row>
    <row r="186" spans="1:7" hidden="1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Row],[Category]],Categories[Category],Categories[Type],"",0,1)</f>
        <v>Expense</v>
      </c>
      <c r="F186" s="3">
        <v>45627</v>
      </c>
      <c r="G186" s="1">
        <f>MONTH(Operations[[#This Row],[Date]])</f>
        <v>12</v>
      </c>
    </row>
    <row r="187" spans="1:7" hidden="1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Row],[Category]],Categories[Category],Categories[Type],"",0,1)</f>
        <v>Expense</v>
      </c>
      <c r="F187" s="3">
        <v>45627</v>
      </c>
      <c r="G187" s="1">
        <f>MONTH(Operations[[#This Row],[Date]])</f>
        <v>12</v>
      </c>
    </row>
    <row r="188" spans="1:7" hidden="1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Row],[Category]],Categories[Category],Categories[Type],"",0,1)</f>
        <v>Expense</v>
      </c>
      <c r="F188" s="3">
        <v>45628</v>
      </c>
      <c r="G188" s="1">
        <f>MONTH(Operations[[#This Row],[Date]])</f>
        <v>12</v>
      </c>
    </row>
    <row r="189" spans="1:7" hidden="1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Row],[Category]],Categories[Category],Categories[Type],"",0,1)</f>
        <v>Expense</v>
      </c>
      <c r="F189" s="3">
        <v>45628</v>
      </c>
      <c r="G189" s="1">
        <f>MONTH(Operations[[#This Row],[Date]])</f>
        <v>12</v>
      </c>
    </row>
    <row r="190" spans="1:7" hidden="1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Row],[Category]],Categories[Category],Categories[Type],"",0,1)</f>
        <v>Expense</v>
      </c>
      <c r="F190" s="3">
        <v>45628</v>
      </c>
      <c r="G190" s="1">
        <f>MONTH(Operations[[#This Row],[Date]])</f>
        <v>12</v>
      </c>
    </row>
    <row r="191" spans="1:7" hidden="1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Row],[Category]],Categories[Category],Categories[Type],"",0,1)</f>
        <v>Expense</v>
      </c>
      <c r="F191" s="3">
        <v>45628</v>
      </c>
      <c r="G191" s="1">
        <f>MONTH(Operations[[#This Row],[Date]])</f>
        <v>12</v>
      </c>
    </row>
    <row r="192" spans="1:7" hidden="1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Row],[Category]],Categories[Category],Categories[Type],"",0,1)</f>
        <v>Expense</v>
      </c>
      <c r="F192" s="3">
        <v>45628</v>
      </c>
      <c r="G192" s="1">
        <f>MONTH(Operations[[#This Row],[Date]])</f>
        <v>12</v>
      </c>
    </row>
    <row r="193" spans="1:7" hidden="1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Row],[Category]],Categories[Category],Categories[Type],"",0,1)</f>
        <v>Expense</v>
      </c>
      <c r="F193" s="3">
        <v>45628</v>
      </c>
      <c r="G193" s="1">
        <f>MONTH(Operations[[#This Row],[Date]])</f>
        <v>12</v>
      </c>
    </row>
    <row r="194" spans="1:7" hidden="1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Row],[Category]],Categories[Category],Categories[Type],"",0,1)</f>
        <v>Expense</v>
      </c>
      <c r="F194" s="3">
        <v>45629</v>
      </c>
      <c r="G194" s="1">
        <f>MONTH(Operations[[#This Row],[Date]])</f>
        <v>12</v>
      </c>
    </row>
    <row r="195" spans="1:7" hidden="1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Row],[Category]],Categories[Category],Categories[Type],"",0,1)</f>
        <v>Expense</v>
      </c>
      <c r="F195" s="3">
        <v>45629</v>
      </c>
      <c r="G195" s="1">
        <f>MONTH(Operations[[#This Row],[Date]])</f>
        <v>12</v>
      </c>
    </row>
    <row r="196" spans="1:7" hidden="1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Row],[Category]],Categories[Category],Categories[Type],"",0,1)</f>
        <v>Expense</v>
      </c>
      <c r="F196" s="3">
        <v>45632</v>
      </c>
      <c r="G196" s="1">
        <f>MONTH(Operations[[#This Row],[Date]])</f>
        <v>12</v>
      </c>
    </row>
    <row r="197" spans="1:7" hidden="1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Row],[Category]],Categories[Category],Categories[Type],"",0,1)</f>
        <v>Expense</v>
      </c>
      <c r="F197" s="3">
        <v>45632</v>
      </c>
      <c r="G197" s="1">
        <f>MONTH(Operations[[#This Row],[Date]])</f>
        <v>12</v>
      </c>
    </row>
    <row r="198" spans="1:7" hidden="1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Row],[Category]],Categories[Category],Categories[Type],"",0,1)</f>
        <v>Income</v>
      </c>
      <c r="F198" s="3">
        <v>45636</v>
      </c>
      <c r="G198" s="1">
        <f>MONTH(Operations[[#This Row],[Date]])</f>
        <v>12</v>
      </c>
    </row>
    <row r="199" spans="1:7" hidden="1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Row],[Category]],Categories[Category],Categories[Type],"",0,1)</f>
        <v>Expense</v>
      </c>
      <c r="F199" s="3">
        <v>45637</v>
      </c>
      <c r="G199" s="1">
        <f>MONTH(Operations[[#This Row],[Date]])</f>
        <v>12</v>
      </c>
    </row>
    <row r="200" spans="1:7" hidden="1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Row],[Category]],Categories[Category],Categories[Type],"",0,1)</f>
        <v>Expense</v>
      </c>
      <c r="F200" s="3">
        <v>45640</v>
      </c>
      <c r="G200" s="1">
        <f>MONTH(Operations[[#This Row],[Date]])</f>
        <v>12</v>
      </c>
    </row>
    <row r="201" spans="1:7" hidden="1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Row],[Category]],Categories[Category],Categories[Type],"",0,1)</f>
        <v>Expense</v>
      </c>
      <c r="F201" s="3">
        <v>45641</v>
      </c>
      <c r="G201" s="1">
        <f>MONTH(Operations[[#This Row],[Date]])</f>
        <v>12</v>
      </c>
    </row>
    <row r="202" spans="1:7" hidden="1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Row],[Category]],Categories[Category],Categories[Type],"",0,1)</f>
        <v>Expense</v>
      </c>
      <c r="F202" s="3">
        <v>45644</v>
      </c>
      <c r="G202" s="1">
        <f>MONTH(Operations[[#This Row],[Date]])</f>
        <v>12</v>
      </c>
    </row>
    <row r="203" spans="1:7" hidden="1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Row],[Category]],Categories[Category],Categories[Type],"",0,1)</f>
        <v>Income</v>
      </c>
      <c r="F203" s="3">
        <v>45648</v>
      </c>
      <c r="G203" s="1">
        <f>MONTH(Operations[[#This Row],[Date]])</f>
        <v>12</v>
      </c>
    </row>
    <row r="204" spans="1:7" hidden="1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Row],[Category]],Categories[Category],Categories[Type],"",0,1)</f>
        <v>Expense</v>
      </c>
      <c r="F204" s="3">
        <v>45649</v>
      </c>
      <c r="G204" s="1">
        <f>MONTH(Operations[[#This Row],[Date]])</f>
        <v>12</v>
      </c>
    </row>
    <row r="205" spans="1:7" hidden="1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Row],[Category]],Categories[Category],Categories[Type],"",0,1)</f>
        <v>Income</v>
      </c>
      <c r="F205" s="3">
        <v>45650</v>
      </c>
      <c r="G205" s="1">
        <f>MONTH(Operations[[#This Row],[Date]])</f>
        <v>12</v>
      </c>
    </row>
    <row r="206" spans="1:7" hidden="1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Row],[Category]],Categories[Category],Categories[Type],"",0,1)</f>
        <v>Expense</v>
      </c>
      <c r="F206" s="3">
        <v>45654</v>
      </c>
      <c r="G206" s="1">
        <f>MONTH(Operations[[#This Row],[Date]])</f>
        <v>12</v>
      </c>
    </row>
    <row r="207" spans="1:7" hidden="1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Row],[Category]],Categories[Category],Categories[Type],"",0,1)</f>
        <v>Expense</v>
      </c>
      <c r="F207" s="3">
        <v>45656</v>
      </c>
      <c r="G207" s="1">
        <f>MONTH(Operations[[#This Row],[Date]])</f>
        <v>12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1A5E59C-993F-804D-8C57-8E4EE929F149}">
          <x14:formula1>
            <xm:f>_xlfn._TRO_LEADING(Dicionary!$A$2:$A$22)</xm:f>
          </x14:formula1>
          <xm:sqref>D2:D1048576</xm:sqref>
        </x14:dataValidation>
        <x14:dataValidation type="list" allowBlank="1" showInputMessage="1" showErrorMessage="1" xr:uid="{1AA4003D-4012-DC43-AE9B-D5D8326BD028}">
          <x14:formula1>
            <xm:f>Dicionary!$I$1:$K$1</xm:f>
          </x14:formula1>
          <xm:sqref>B2:B1048576</xm:sqref>
        </x14:dataValidation>
        <x14:dataValidation type="list" allowBlank="1" showInputMessage="1" showErrorMessage="1" xr:uid="{F63B9879-6BC3-8741-926A-51C97D860905}">
          <x14:formula1>
            <xm:f>CHOOSE(MATCH(B2,Dicionary!$I$1:$K$1,0),_xlfn._TRO_TRAILING(Dicionary!$I$2:$I$8),_xlfn._TRO_TRAILING(Dicionary!$J$2:$J$8),_xlfn._TRO_TRAILING(Dicionary!$K$2:$K$8))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B5F5-F0D4-40C2-B6A4-86E3FA34AA56}">
  <dimension ref="A1:O18"/>
  <sheetViews>
    <sheetView workbookViewId="0">
      <selection activeCell="G6" sqref="G6"/>
    </sheetView>
  </sheetViews>
  <sheetFormatPr defaultRowHeight="15" x14ac:dyDescent="0.25"/>
  <cols>
    <col min="1" max="1" width="11" customWidth="1"/>
    <col min="3" max="14" width="10.5703125" bestFit="1" customWidth="1"/>
    <col min="15" max="15" width="11.5703125" bestFit="1" customWidth="1"/>
  </cols>
  <sheetData>
    <row r="1" spans="1:15" x14ac:dyDescent="0.25">
      <c r="A1" t="s">
        <v>3</v>
      </c>
      <c r="B1" t="s">
        <v>4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38</v>
      </c>
    </row>
    <row r="2" spans="1:15" x14ac:dyDescent="0.25">
      <c r="A2" t="s">
        <v>18</v>
      </c>
      <c r="B2" t="s">
        <v>32</v>
      </c>
      <c r="C2" s="9">
        <f>SUMIFS(Operations[[Amount]:[Amount]],Operations[[Category]:[Category]],Summary1[[#This Row],[Category]:[Category]],Operations[[Month]:[Month]],Summary1[[#Headers],[1]])</f>
        <v>-2000</v>
      </c>
      <c r="D2" s="9">
        <f>SUMIFS(Operations[[Amount]:[Amount]],Operations[[Category]:[Category]],Summary1[[#This Row],[Category]:[Category]],Operations[[Month]:[Month]],Summary1[[#Headers],[2]])</f>
        <v>-2000</v>
      </c>
      <c r="E2" s="9">
        <f>SUMIFS(Operations[[Amount]:[Amount]],Operations[[Category]:[Category]],Summary1[[#This Row],[Category]:[Category]],Operations[[Month]:[Month]],Summary1[[#Headers],[3]])</f>
        <v>-2000</v>
      </c>
      <c r="F2" s="9">
        <f>SUMIFS(Operations[[Amount]:[Amount]],Operations[[Category]:[Category]],Summary1[[#This Row],[Category]:[Category]],Operations[[Month]:[Month]],Summary1[[#Headers],[4]])</f>
        <v>-2000</v>
      </c>
      <c r="G2" s="9">
        <f>SUMIFS(Operations[[Amount]:[Amount]],Operations[[Category]:[Category]],Summary1[[#This Row],[Category]:[Category]],Operations[[Month]:[Month]],Summary1[[#Headers],[5]])</f>
        <v>-2000</v>
      </c>
      <c r="H2" s="9">
        <f>SUMIFS(Operations[[Amount]:[Amount]],Operations[[Category]:[Category]],Summary1[[#This Row],[Category]:[Category]],Operations[[Month]:[Month]],Summary1[[#Headers],[6]])</f>
        <v>-2000</v>
      </c>
      <c r="I2" s="9">
        <f>SUMIFS(Operations[[Amount]:[Amount]],Operations[[Category]:[Category]],Summary1[[#This Row],[Category]:[Category]],Operations[[Month]:[Month]],Summary1[[#Headers],[7]])</f>
        <v>-2000</v>
      </c>
      <c r="J2" s="9">
        <f>SUMIFS(Operations[[Amount]:[Amount]],Operations[[Category]:[Category]],Summary1[[#This Row],[Category]:[Category]],Operations[[Month]:[Month]],Summary1[[#Headers],[8]])</f>
        <v>-2000</v>
      </c>
      <c r="K2" s="9">
        <f>SUMIFS(Operations[[Amount]:[Amount]],Operations[[Category]:[Category]],Summary1[[#This Row],[Category]:[Category]],Operations[[Month]:[Month]],Summary1[[#Headers],[9]])</f>
        <v>-2000</v>
      </c>
      <c r="L2" s="9">
        <f>SUMIFS(Operations[[Amount]:[Amount]],Operations[[Category]:[Category]],Summary1[[#This Row],[Category]:[Category]],Operations[[Month]:[Month]],Summary1[[#Headers],[10]])</f>
        <v>-2000</v>
      </c>
      <c r="M2" s="9">
        <f>SUMIFS(Operations[[Amount]:[Amount]],Operations[[Category]:[Category]],Summary1[[#This Row],[Category]:[Category]],Operations[[Month]:[Month]],Summary1[[#Headers],[11]])</f>
        <v>-2000</v>
      </c>
      <c r="N2" s="9">
        <f>SUMIFS(Operations[[Amount]:[Amount]],Operations[[Category]:[Category]],Summary1[[#This Row],[Category]:[Category]],Operations[[Month]:[Month]],Summary1[[#Headers],[12]])</f>
        <v>-2000</v>
      </c>
      <c r="O2" s="9">
        <f>SUM(Summary1[[#This Row],[1]:[12]])</f>
        <v>-24000</v>
      </c>
    </row>
    <row r="3" spans="1:15" x14ac:dyDescent="0.25">
      <c r="A3" t="s">
        <v>22</v>
      </c>
      <c r="B3" t="s">
        <v>32</v>
      </c>
      <c r="C3" s="9">
        <f>SUMIFS(Operations[[Amount]:[Amount]],Operations[[Category]:[Category]],Summary1[[#This Row],[Category]:[Category]],Operations[[Month]:[Month]],Summary1[[#Headers],[1]])</f>
        <v>-80</v>
      </c>
      <c r="D3" s="9">
        <f>SUMIFS(Operations[[Amount]:[Amount]],Operations[[Category]:[Category]],Summary1[[#This Row],[Category]:[Category]],Operations[[Month]:[Month]],Summary1[[#Headers],[2]])</f>
        <v>0</v>
      </c>
      <c r="E3" s="9">
        <f>SUMIFS(Operations[[Amount]:[Amount]],Operations[[Category]:[Category]],Summary1[[#This Row],[Category]:[Category]],Operations[[Month]:[Month]],Summary1[[#Headers],[3]])</f>
        <v>-469.9</v>
      </c>
      <c r="F3" s="9">
        <f>SUMIFS(Operations[[Amount]:[Amount]],Operations[[Category]:[Category]],Summary1[[#This Row],[Category]:[Category]],Operations[[Month]:[Month]],Summary1[[#Headers],[4]])</f>
        <v>-149</v>
      </c>
      <c r="G3" s="9">
        <f>SUMIFS(Operations[[Amount]:[Amount]],Operations[[Category]:[Category]],Summary1[[#This Row],[Category]:[Category]],Operations[[Month]:[Month]],Summary1[[#Headers],[5]])</f>
        <v>0</v>
      </c>
      <c r="H3" s="9">
        <f>SUMIFS(Operations[[Amount]:[Amount]],Operations[[Category]:[Category]],Summary1[[#This Row],[Category]:[Category]],Operations[[Month]:[Month]],Summary1[[#Headers],[6]])</f>
        <v>-300</v>
      </c>
      <c r="I3" s="9">
        <f>SUMIFS(Operations[[Amount]:[Amount]],Operations[[Category]:[Category]],Summary1[[#This Row],[Category]:[Category]],Operations[[Month]:[Month]],Summary1[[#Headers],[7]])</f>
        <v>250</v>
      </c>
      <c r="J3" s="9">
        <f>SUMIFS(Operations[[Amount]:[Amount]],Operations[[Category]:[Category]],Summary1[[#This Row],[Category]:[Category]],Operations[[Month]:[Month]],Summary1[[#Headers],[8]])</f>
        <v>-300</v>
      </c>
      <c r="K3" s="9">
        <f>SUMIFS(Operations[[Amount]:[Amount]],Operations[[Category]:[Category]],Summary1[[#This Row],[Category]:[Category]],Operations[[Month]:[Month]],Summary1[[#Headers],[9]])</f>
        <v>0</v>
      </c>
      <c r="L3" s="9">
        <f>SUMIFS(Operations[[Amount]:[Amount]],Operations[[Category]:[Category]],Summary1[[#This Row],[Category]:[Category]],Operations[[Month]:[Month]],Summary1[[#Headers],[10]])</f>
        <v>0</v>
      </c>
      <c r="M3" s="9">
        <f>SUMIFS(Operations[[Amount]:[Amount]],Operations[[Category]:[Category]],Summary1[[#This Row],[Category]:[Category]],Operations[[Month]:[Month]],Summary1[[#Headers],[11]])</f>
        <v>-158</v>
      </c>
      <c r="N3" s="9">
        <f>SUMIFS(Operations[[Amount]:[Amount]],Operations[[Category]:[Category]],Summary1[[#This Row],[Category]:[Category]],Operations[[Month]:[Month]],Summary1[[#Headers],[12]])</f>
        <v>-120</v>
      </c>
      <c r="O3" s="9">
        <f>SUM(Summary1[[#This Row],[1]:[12]])</f>
        <v>-1326.9</v>
      </c>
    </row>
    <row r="4" spans="1:15" x14ac:dyDescent="0.25">
      <c r="A4" t="s">
        <v>20</v>
      </c>
      <c r="B4" t="s">
        <v>32</v>
      </c>
      <c r="C4" s="9">
        <f>SUMIFS(Operations[[Amount]:[Amount]],Operations[[Category]:[Category]],Summary1[[#This Row],[Category]:[Category]],Operations[[Month]:[Month]],Summary1[[#Headers],[1]])</f>
        <v>-85</v>
      </c>
      <c r="D4" s="9">
        <f>SUMIFS(Operations[[Amount]:[Amount]],Operations[[Category]:[Category]],Summary1[[#This Row],[Category]:[Category]],Operations[[Month]:[Month]],Summary1[[#Headers],[2]])</f>
        <v>-350</v>
      </c>
      <c r="E4" s="9">
        <f>SUMIFS(Operations[[Amount]:[Amount]],Operations[[Category]:[Category]],Summary1[[#This Row],[Category]:[Category]],Operations[[Month]:[Month]],Summary1[[#Headers],[3]])</f>
        <v>-200</v>
      </c>
      <c r="F4" s="9">
        <f>SUMIFS(Operations[[Amount]:[Amount]],Operations[[Category]:[Category]],Summary1[[#This Row],[Category]:[Category]],Operations[[Month]:[Month]],Summary1[[#Headers],[4]])</f>
        <v>-1057.9000000000001</v>
      </c>
      <c r="G4" s="9">
        <f>SUMIFS(Operations[[Amount]:[Amount]],Operations[[Category]:[Category]],Summary1[[#This Row],[Category]:[Category]],Operations[[Month]:[Month]],Summary1[[#Headers],[5]])</f>
        <v>-80</v>
      </c>
      <c r="H4" s="9">
        <f>SUMIFS(Operations[[Amount]:[Amount]],Operations[[Category]:[Category]],Summary1[[#This Row],[Category]:[Category]],Operations[[Month]:[Month]],Summary1[[#Headers],[6]])</f>
        <v>-200</v>
      </c>
      <c r="I4" s="9">
        <f>SUMIFS(Operations[[Amount]:[Amount]],Operations[[Category]:[Category]],Summary1[[#This Row],[Category]:[Category]],Operations[[Month]:[Month]],Summary1[[#Headers],[7]])</f>
        <v>-700</v>
      </c>
      <c r="J4" s="9">
        <f>SUMIFS(Operations[[Amount]:[Amount]],Operations[[Category]:[Category]],Summary1[[#This Row],[Category]:[Category]],Operations[[Month]:[Month]],Summary1[[#Headers],[8]])</f>
        <v>-250</v>
      </c>
      <c r="K4" s="9">
        <f>SUMIFS(Operations[[Amount]:[Amount]],Operations[[Category]:[Category]],Summary1[[#This Row],[Category]:[Category]],Operations[[Month]:[Month]],Summary1[[#Headers],[9]])</f>
        <v>-20</v>
      </c>
      <c r="L4" s="9">
        <f>SUMIFS(Operations[[Amount]:[Amount]],Operations[[Category]:[Category]],Summary1[[#This Row],[Category]:[Category]],Operations[[Month]:[Month]],Summary1[[#Headers],[10]])</f>
        <v>-40</v>
      </c>
      <c r="M4" s="9">
        <f>SUMIFS(Operations[[Amount]:[Amount]],Operations[[Category]:[Category]],Summary1[[#This Row],[Category]:[Category]],Operations[[Month]:[Month]],Summary1[[#Headers],[11]])</f>
        <v>-214</v>
      </c>
      <c r="N4" s="9">
        <f>SUMIFS(Operations[[Amount]:[Amount]],Operations[[Category]:[Category]],Summary1[[#This Row],[Category]:[Category]],Operations[[Month]:[Month]],Summary1[[#Headers],[12]])</f>
        <v>-450</v>
      </c>
      <c r="O4" s="9">
        <f>SUM(Summary1[[#This Row],[1]:[12]])</f>
        <v>-3646.9</v>
      </c>
    </row>
    <row r="5" spans="1:15" x14ac:dyDescent="0.25">
      <c r="A5" t="s">
        <v>17</v>
      </c>
      <c r="B5" t="s">
        <v>32</v>
      </c>
      <c r="C5" s="9">
        <f>SUMIFS(Operations[[Amount]:[Amount]],Operations[[Category]:[Category]],Summary1[[#This Row],[Category]:[Category]],Operations[[Month]:[Month]],Summary1[[#Headers],[1]])</f>
        <v>-1715</v>
      </c>
      <c r="D5" s="9">
        <f>SUMIFS(Operations[[Amount]:[Amount]],Operations[[Category]:[Category]],Summary1[[#This Row],[Category]:[Category]],Operations[[Month]:[Month]],Summary1[[#Headers],[2]])</f>
        <v>-405.5</v>
      </c>
      <c r="E5" s="9">
        <f>SUMIFS(Operations[[Amount]:[Amount]],Operations[[Category]:[Category]],Summary1[[#This Row],[Category]:[Category]],Operations[[Month]:[Month]],Summary1[[#Headers],[3]])</f>
        <v>-734.99</v>
      </c>
      <c r="F5" s="9">
        <f>SUMIFS(Operations[[Amount]:[Amount]],Operations[[Category]:[Category]],Summary1[[#This Row],[Category]:[Category]],Operations[[Month]:[Month]],Summary1[[#Headers],[4]])</f>
        <v>-372.26</v>
      </c>
      <c r="G5" s="9">
        <f>SUMIFS(Operations[[Amount]:[Amount]],Operations[[Category]:[Category]],Summary1[[#This Row],[Category]:[Category]],Operations[[Month]:[Month]],Summary1[[#Headers],[5]])</f>
        <v>-1000</v>
      </c>
      <c r="H5" s="9">
        <f>SUMIFS(Operations[[Amount]:[Amount]],Operations[[Category]:[Category]],Summary1[[#This Row],[Category]:[Category]],Operations[[Month]:[Month]],Summary1[[#Headers],[6]])</f>
        <v>-1000</v>
      </c>
      <c r="I5" s="9">
        <f>SUMIFS(Operations[[Amount]:[Amount]],Operations[[Category]:[Category]],Summary1[[#This Row],[Category]:[Category]],Operations[[Month]:[Month]],Summary1[[#Headers],[7]])</f>
        <v>-165</v>
      </c>
      <c r="J5" s="9">
        <f>SUMIFS(Operations[[Amount]:[Amount]],Operations[[Category]:[Category]],Summary1[[#This Row],[Category]:[Category]],Operations[[Month]:[Month]],Summary1[[#Headers],[8]])</f>
        <v>-749.5</v>
      </c>
      <c r="K5" s="9">
        <f>SUMIFS(Operations[[Amount]:[Amount]],Operations[[Category]:[Category]],Summary1[[#This Row],[Category]:[Category]],Operations[[Month]:[Month]],Summary1[[#Headers],[9]])</f>
        <v>-538.5</v>
      </c>
      <c r="L5" s="9">
        <f>SUMIFS(Operations[[Amount]:[Amount]],Operations[[Category]:[Category]],Summary1[[#This Row],[Category]:[Category]],Operations[[Month]:[Month]],Summary1[[#Headers],[10]])</f>
        <v>-600</v>
      </c>
      <c r="M5" s="9">
        <f>SUMIFS(Operations[[Amount]:[Amount]],Operations[[Category]:[Category]],Summary1[[#This Row],[Category]:[Category]],Operations[[Month]:[Month]],Summary1[[#Headers],[11]])</f>
        <v>-506</v>
      </c>
      <c r="N5" s="9">
        <f>SUMIFS(Operations[[Amount]:[Amount]],Operations[[Category]:[Category]],Summary1[[#This Row],[Category]:[Category]],Operations[[Month]:[Month]],Summary1[[#Headers],[12]])</f>
        <v>-700</v>
      </c>
      <c r="O5" s="9">
        <f>SUM(Summary1[[#This Row],[1]:[12]])</f>
        <v>-8486.75</v>
      </c>
    </row>
    <row r="6" spans="1:15" x14ac:dyDescent="0.25">
      <c r="A6" t="s">
        <v>21</v>
      </c>
      <c r="B6" t="s">
        <v>32</v>
      </c>
      <c r="C6" s="9">
        <f>SUMIFS(Operations[[Amount]:[Amount]],Operations[[Category]:[Category]],Summary1[[#This Row],[Category]:[Category]],Operations[[Month]:[Month]],Summary1[[#Headers],[1]])</f>
        <v>-100</v>
      </c>
      <c r="D6" s="9">
        <f>SUMIFS(Operations[[Amount]:[Amount]],Operations[[Category]:[Category]],Summary1[[#This Row],[Category]:[Category]],Operations[[Month]:[Month]],Summary1[[#Headers],[2]])</f>
        <v>-250</v>
      </c>
      <c r="E6" s="9">
        <f>SUMIFS(Operations[[Amount]:[Amount]],Operations[[Category]:[Category]],Summary1[[#This Row],[Category]:[Category]],Operations[[Month]:[Month]],Summary1[[#Headers],[3]])</f>
        <v>-9.5</v>
      </c>
      <c r="F6" s="9">
        <f>SUMIFS(Operations[[Amount]:[Amount]],Operations[[Category]:[Category]],Summary1[[#This Row],[Category]:[Category]],Operations[[Month]:[Month]],Summary1[[#Headers],[4]])</f>
        <v>-23.5</v>
      </c>
      <c r="G6" s="9">
        <f>SUMIFS(Operations[[Amount]:[Amount]],Operations[[Category]:[Category]],Summary1[[#This Row],[Category]:[Category]],Operations[[Month]:[Month]],Summary1[[#Headers],[5]])</f>
        <v>0</v>
      </c>
      <c r="H6" s="9">
        <f>SUMIFS(Operations[[Amount]:[Amount]],Operations[[Category]:[Category]],Summary1[[#This Row],[Category]:[Category]],Operations[[Month]:[Month]],Summary1[[#Headers],[6]])</f>
        <v>-100</v>
      </c>
      <c r="I6" s="9">
        <f>SUMIFS(Operations[[Amount]:[Amount]],Operations[[Category]:[Category]],Summary1[[#This Row],[Category]:[Category]],Operations[[Month]:[Month]],Summary1[[#Headers],[7]])</f>
        <v>-300</v>
      </c>
      <c r="J6" s="9">
        <f>SUMIFS(Operations[[Amount]:[Amount]],Operations[[Category]:[Category]],Summary1[[#This Row],[Category]:[Category]],Operations[[Month]:[Month]],Summary1[[#Headers],[8]])</f>
        <v>-400</v>
      </c>
      <c r="K6" s="9">
        <f>SUMIFS(Operations[[Amount]:[Amount]],Operations[[Category]:[Category]],Summary1[[#This Row],[Category]:[Category]],Operations[[Month]:[Month]],Summary1[[#Headers],[9]])</f>
        <v>0</v>
      </c>
      <c r="L6" s="9">
        <f>SUMIFS(Operations[[Amount]:[Amount]],Operations[[Category]:[Category]],Summary1[[#This Row],[Category]:[Category]],Operations[[Month]:[Month]],Summary1[[#Headers],[10]])</f>
        <v>0</v>
      </c>
      <c r="M6" s="9">
        <f>SUMIFS(Operations[[Amount]:[Amount]],Operations[[Category]:[Category]],Summary1[[#This Row],[Category]:[Category]],Operations[[Month]:[Month]],Summary1[[#Headers],[11]])</f>
        <v>-133</v>
      </c>
      <c r="N6" s="9">
        <f>SUMIFS(Operations[[Amount]:[Amount]],Operations[[Category]:[Category]],Summary1[[#This Row],[Category]:[Category]],Operations[[Month]:[Month]],Summary1[[#Headers],[12]])</f>
        <v>-10</v>
      </c>
      <c r="O6" s="9">
        <f>SUM(Summary1[[#This Row],[1]:[12]])</f>
        <v>-1326</v>
      </c>
    </row>
    <row r="7" spans="1:15" x14ac:dyDescent="0.25">
      <c r="A7" t="s">
        <v>19</v>
      </c>
      <c r="B7" t="s">
        <v>32</v>
      </c>
      <c r="C7" s="9">
        <f>SUMIFS(Operations[[Amount]:[Amount]],Operations[[Category]:[Category]],Summary1[[#This Row],[Category]:[Category]],Operations[[Month]:[Month]],Summary1[[#Headers],[1]])</f>
        <v>-150</v>
      </c>
      <c r="D7" s="9">
        <f>SUMIFS(Operations[[Amount]:[Amount]],Operations[[Category]:[Category]],Summary1[[#This Row],[Category]:[Category]],Operations[[Month]:[Month]],Summary1[[#Headers],[2]])</f>
        <v>-150</v>
      </c>
      <c r="E7" s="9">
        <f>SUMIFS(Operations[[Amount]:[Amount]],Operations[[Category]:[Category]],Summary1[[#This Row],[Category]:[Category]],Operations[[Month]:[Month]],Summary1[[#Headers],[3]])</f>
        <v>-23</v>
      </c>
      <c r="F7" s="9">
        <f>SUMIFS(Operations[[Amount]:[Amount]],Operations[[Category]:[Category]],Summary1[[#This Row],[Category]:[Category]],Operations[[Month]:[Month]],Summary1[[#Headers],[4]])</f>
        <v>-49</v>
      </c>
      <c r="G7" s="9">
        <f>SUMIFS(Operations[[Amount]:[Amount]],Operations[[Category]:[Category]],Summary1[[#This Row],[Category]:[Category]],Operations[[Month]:[Month]],Summary1[[#Headers],[5]])</f>
        <v>-50</v>
      </c>
      <c r="H7" s="9">
        <f>SUMIFS(Operations[[Amount]:[Amount]],Operations[[Category]:[Category]],Summary1[[#This Row],[Category]:[Category]],Operations[[Month]:[Month]],Summary1[[#Headers],[6]])</f>
        <v>-50</v>
      </c>
      <c r="I7" s="9">
        <f>SUMIFS(Operations[[Amount]:[Amount]],Operations[[Category]:[Category]],Summary1[[#This Row],[Category]:[Category]],Operations[[Month]:[Month]],Summary1[[#Headers],[7]])</f>
        <v>0</v>
      </c>
      <c r="J7" s="9">
        <f>SUMIFS(Operations[[Amount]:[Amount]],Operations[[Category]:[Category]],Summary1[[#This Row],[Category]:[Category]],Operations[[Month]:[Month]],Summary1[[#Headers],[8]])</f>
        <v>0</v>
      </c>
      <c r="K7" s="9">
        <f>SUMIFS(Operations[[Amount]:[Amount]],Operations[[Category]:[Category]],Summary1[[#This Row],[Category]:[Category]],Operations[[Month]:[Month]],Summary1[[#Headers],[9]])</f>
        <v>-40</v>
      </c>
      <c r="L7" s="9">
        <f>SUMIFS(Operations[[Amount]:[Amount]],Operations[[Category]:[Category]],Summary1[[#This Row],[Category]:[Category]],Operations[[Month]:[Month]],Summary1[[#Headers],[10]])</f>
        <v>-40</v>
      </c>
      <c r="M7" s="9">
        <f>SUMIFS(Operations[[Amount]:[Amount]],Operations[[Category]:[Category]],Summary1[[#This Row],[Category]:[Category]],Operations[[Month]:[Month]],Summary1[[#Headers],[11]])</f>
        <v>-47</v>
      </c>
      <c r="N7" s="9">
        <f>SUMIFS(Operations[[Amount]:[Amount]],Operations[[Category]:[Category]],Summary1[[#This Row],[Category]:[Category]],Operations[[Month]:[Month]],Summary1[[#Headers],[12]])</f>
        <v>0</v>
      </c>
      <c r="O7" s="9">
        <f>SUM(Summary1[[#This Row],[1]:[12]])</f>
        <v>-599</v>
      </c>
    </row>
    <row r="8" spans="1:15" x14ac:dyDescent="0.25">
      <c r="A8" t="s">
        <v>24</v>
      </c>
      <c r="B8" t="s">
        <v>32</v>
      </c>
      <c r="C8" s="9">
        <f>SUMIFS(Operations[[Amount]:[Amount]],Operations[[Category]:[Category]],Summary1[[#This Row],[Category]:[Category]],Operations[[Month]:[Month]],Summary1[[#Headers],[1]])</f>
        <v>-500</v>
      </c>
      <c r="D8" s="9">
        <f>SUMIFS(Operations[[Amount]:[Amount]],Operations[[Category]:[Category]],Summary1[[#This Row],[Category]:[Category]],Operations[[Month]:[Month]],Summary1[[#Headers],[2]])</f>
        <v>-765</v>
      </c>
      <c r="E8" s="9">
        <f>SUMIFS(Operations[[Amount]:[Amount]],Operations[[Category]:[Category]],Summary1[[#This Row],[Category]:[Category]],Operations[[Month]:[Month]],Summary1[[#Headers],[3]])</f>
        <v>-300</v>
      </c>
      <c r="F8" s="9">
        <f>SUMIFS(Operations[[Amount]:[Amount]],Operations[[Category]:[Category]],Summary1[[#This Row],[Category]:[Category]],Operations[[Month]:[Month]],Summary1[[#Headers],[4]])</f>
        <v>-100</v>
      </c>
      <c r="G8" s="9">
        <f>SUMIFS(Operations[[Amount]:[Amount]],Operations[[Category]:[Category]],Summary1[[#This Row],[Category]:[Category]],Operations[[Month]:[Month]],Summary1[[#Headers],[5]])</f>
        <v>0</v>
      </c>
      <c r="H8" s="9">
        <f>SUMIFS(Operations[[Amount]:[Amount]],Operations[[Category]:[Category]],Summary1[[#This Row],[Category]:[Category]],Operations[[Month]:[Month]],Summary1[[#Headers],[6]])</f>
        <v>0</v>
      </c>
      <c r="I8" s="9">
        <f>SUMIFS(Operations[[Amount]:[Amount]],Operations[[Category]:[Category]],Summary1[[#This Row],[Category]:[Category]],Operations[[Month]:[Month]],Summary1[[#Headers],[7]])</f>
        <v>0</v>
      </c>
      <c r="J8" s="9">
        <f>SUMIFS(Operations[[Amount]:[Amount]],Operations[[Category]:[Category]],Summary1[[#This Row],[Category]:[Category]],Operations[[Month]:[Month]],Summary1[[#Headers],[8]])</f>
        <v>0</v>
      </c>
      <c r="K8" s="9">
        <f>SUMIFS(Operations[[Amount]:[Amount]],Operations[[Category]:[Category]],Summary1[[#This Row],[Category]:[Category]],Operations[[Month]:[Month]],Summary1[[#Headers],[9]])</f>
        <v>0</v>
      </c>
      <c r="L8" s="9">
        <f>SUMIFS(Operations[[Amount]:[Amount]],Operations[[Category]:[Category]],Summary1[[#This Row],[Category]:[Category]],Operations[[Month]:[Month]],Summary1[[#Headers],[10]])</f>
        <v>0</v>
      </c>
      <c r="M8" s="9">
        <f>SUMIFS(Operations[[Amount]:[Amount]],Operations[[Category]:[Category]],Summary1[[#This Row],[Category]:[Category]],Operations[[Month]:[Month]],Summary1[[#Headers],[11]])</f>
        <v>-234</v>
      </c>
      <c r="N8" s="9">
        <f>SUMIFS(Operations[[Amount]:[Amount]],Operations[[Category]:[Category]],Summary1[[#This Row],[Category]:[Category]],Operations[[Month]:[Month]],Summary1[[#Headers],[12]])</f>
        <v>-700</v>
      </c>
      <c r="O8" s="9">
        <f>SUM(Summary1[[#This Row],[1]:[12]])</f>
        <v>-2599</v>
      </c>
    </row>
    <row r="9" spans="1:15" x14ac:dyDescent="0.25">
      <c r="A9" t="s">
        <v>23</v>
      </c>
      <c r="B9" t="s">
        <v>32</v>
      </c>
      <c r="C9" s="9">
        <f>SUMIFS(Operations[[Amount]:[Amount]],Operations[[Category]:[Category]],Summary1[[#This Row],[Category]:[Category]],Operations[[Month]:[Month]],Summary1[[#Headers],[1]])</f>
        <v>-100</v>
      </c>
      <c r="D9" s="9">
        <f>SUMIFS(Operations[[Amount]:[Amount]],Operations[[Category]:[Category]],Summary1[[#This Row],[Category]:[Category]],Operations[[Month]:[Month]],Summary1[[#Headers],[2]])</f>
        <v>-100</v>
      </c>
      <c r="E9" s="9">
        <f>SUMIFS(Operations[[Amount]:[Amount]],Operations[[Category]:[Category]],Summary1[[#This Row],[Category]:[Category]],Operations[[Month]:[Month]],Summary1[[#Headers],[3]])</f>
        <v>-79.5</v>
      </c>
      <c r="F9" s="9">
        <f>SUMIFS(Operations[[Amount]:[Amount]],Operations[[Category]:[Category]],Summary1[[#This Row],[Category]:[Category]],Operations[[Month]:[Month]],Summary1[[#Headers],[4]])</f>
        <v>-139</v>
      </c>
      <c r="G9" s="9">
        <f>SUMIFS(Operations[[Amount]:[Amount]],Operations[[Category]:[Category]],Summary1[[#This Row],[Category]:[Category]],Operations[[Month]:[Month]],Summary1[[#Headers],[5]])</f>
        <v>0</v>
      </c>
      <c r="H9" s="9">
        <f>SUMIFS(Operations[[Amount]:[Amount]],Operations[[Category]:[Category]],Summary1[[#This Row],[Category]:[Category]],Operations[[Month]:[Month]],Summary1[[#Headers],[6]])</f>
        <v>0</v>
      </c>
      <c r="I9" s="9">
        <f>SUMIFS(Operations[[Amount]:[Amount]],Operations[[Category]:[Category]],Summary1[[#This Row],[Category]:[Category]],Operations[[Month]:[Month]],Summary1[[#Headers],[7]])</f>
        <v>0</v>
      </c>
      <c r="J9" s="9">
        <f>SUMIFS(Operations[[Amount]:[Amount]],Operations[[Category]:[Category]],Summary1[[#This Row],[Category]:[Category]],Operations[[Month]:[Month]],Summary1[[#Headers],[8]])</f>
        <v>0</v>
      </c>
      <c r="K9" s="9">
        <f>SUMIFS(Operations[[Amount]:[Amount]],Operations[[Category]:[Category]],Summary1[[#This Row],[Category]:[Category]],Operations[[Month]:[Month]],Summary1[[#Headers],[9]])</f>
        <v>0</v>
      </c>
      <c r="L9" s="9">
        <f>SUMIFS(Operations[[Amount]:[Amount]],Operations[[Category]:[Category]],Summary1[[#This Row],[Category]:[Category]],Operations[[Month]:[Month]],Summary1[[#Headers],[10]])</f>
        <v>0</v>
      </c>
      <c r="M9" s="9">
        <f>SUMIFS(Operations[[Amount]:[Amount]],Operations[[Category]:[Category]],Summary1[[#This Row],[Category]:[Category]],Operations[[Month]:[Month]],Summary1[[#Headers],[11]])</f>
        <v>0</v>
      </c>
      <c r="N9" s="9">
        <f>SUMIFS(Operations[[Amount]:[Amount]],Operations[[Category]:[Category]],Summary1[[#This Row],[Category]:[Category]],Operations[[Month]:[Month]],Summary1[[#Headers],[12]])</f>
        <v>-100</v>
      </c>
      <c r="O9" s="9">
        <f>SUM(Summary1[[#This Row],[1]:[12]])</f>
        <v>-518.5</v>
      </c>
    </row>
    <row r="10" spans="1:15" x14ac:dyDescent="0.25">
      <c r="A10" t="s">
        <v>16</v>
      </c>
      <c r="B10" t="s">
        <v>32</v>
      </c>
      <c r="C10" s="9">
        <f>SUMIFS(Operations[[Amount]:[Amount]],Operations[[Category]:[Category]],Summary1[[#This Row],[Category]:[Category]],Operations[[Month]:[Month]],Summary1[[#Headers],[1]])</f>
        <v>-80</v>
      </c>
      <c r="D10" s="9">
        <f>SUMIFS(Operations[[Amount]:[Amount]],Operations[[Category]:[Category]],Summary1[[#This Row],[Category]:[Category]],Operations[[Month]:[Month]],Summary1[[#Headers],[2]])</f>
        <v>-80</v>
      </c>
      <c r="E10" s="9">
        <f>SUMIFS(Operations[[Amount]:[Amount]],Operations[[Category]:[Category]],Summary1[[#This Row],[Category]:[Category]],Operations[[Month]:[Month]],Summary1[[#Headers],[3]])</f>
        <v>-82.5</v>
      </c>
      <c r="F10" s="9">
        <f>SUMIFS(Operations[[Amount]:[Amount]],Operations[[Category]:[Category]],Summary1[[#This Row],[Category]:[Category]],Operations[[Month]:[Month]],Summary1[[#Headers],[4]])</f>
        <v>-82.5</v>
      </c>
      <c r="G10" s="9">
        <f>SUMIFS(Operations[[Amount]:[Amount]],Operations[[Category]:[Category]],Summary1[[#This Row],[Category]:[Category]],Operations[[Month]:[Month]],Summary1[[#Headers],[5]])</f>
        <v>-80</v>
      </c>
      <c r="H10" s="9">
        <f>SUMIFS(Operations[[Amount]:[Amount]],Operations[[Category]:[Category]],Summary1[[#This Row],[Category]:[Category]],Operations[[Month]:[Month]],Summary1[[#Headers],[6]])</f>
        <v>-80</v>
      </c>
      <c r="I10" s="9">
        <f>SUMIFS(Operations[[Amount]:[Amount]],Operations[[Category]:[Category]],Summary1[[#This Row],[Category]:[Category]],Operations[[Month]:[Month]],Summary1[[#Headers],[7]])</f>
        <v>-90</v>
      </c>
      <c r="J10" s="9">
        <f>SUMIFS(Operations[[Amount]:[Amount]],Operations[[Category]:[Category]],Summary1[[#This Row],[Category]:[Category]],Operations[[Month]:[Month]],Summary1[[#Headers],[8]])</f>
        <v>-290</v>
      </c>
      <c r="K10" s="9">
        <f>SUMIFS(Operations[[Amount]:[Amount]],Operations[[Category]:[Category]],Summary1[[#This Row],[Category]:[Category]],Operations[[Month]:[Month]],Summary1[[#Headers],[9]])</f>
        <v>-150</v>
      </c>
      <c r="L10" s="9">
        <f>SUMIFS(Operations[[Amount]:[Amount]],Operations[[Category]:[Category]],Summary1[[#This Row],[Category]:[Category]],Operations[[Month]:[Month]],Summary1[[#Headers],[10]])</f>
        <v>-150</v>
      </c>
      <c r="M10" s="9">
        <f>SUMIFS(Operations[[Amount]:[Amount]],Operations[[Category]:[Category]],Summary1[[#This Row],[Category]:[Category]],Operations[[Month]:[Month]],Summary1[[#Headers],[11]])</f>
        <v>-208</v>
      </c>
      <c r="N10" s="9">
        <f>SUMIFS(Operations[[Amount]:[Amount]],Operations[[Category]:[Category]],Summary1[[#This Row],[Category]:[Category]],Operations[[Month]:[Month]],Summary1[[#Headers],[12]])</f>
        <v>0</v>
      </c>
      <c r="O10" s="9">
        <f>SUM(Summary1[[#This Row],[1]:[12]])</f>
        <v>-1373</v>
      </c>
    </row>
    <row r="11" spans="1:15" x14ac:dyDescent="0.25">
      <c r="A11" t="s">
        <v>25</v>
      </c>
      <c r="B11" t="s">
        <v>33</v>
      </c>
      <c r="C11" s="9">
        <f>SUMIFS(Operations[[Amount]:[Amount]],Operations[[Category]:[Category]],Summary1[[#This Row],[Category]:[Category]],Operations[[Month]:[Month]],Summary1[[#Headers],[1]])</f>
        <v>250</v>
      </c>
      <c r="D11" s="9">
        <f>SUMIFS(Operations[[Amount]:[Amount]],Operations[[Category]:[Category]],Summary1[[#This Row],[Category]:[Category]],Operations[[Month]:[Month]],Summary1[[#Headers],[2]])</f>
        <v>0</v>
      </c>
      <c r="E11" s="9">
        <f>SUMIFS(Operations[[Amount]:[Amount]],Operations[[Category]:[Category]],Summary1[[#This Row],[Category]:[Category]],Operations[[Month]:[Month]],Summary1[[#Headers],[3]])</f>
        <v>0</v>
      </c>
      <c r="F11" s="9">
        <f>SUMIFS(Operations[[Amount]:[Amount]],Operations[[Category]:[Category]],Summary1[[#This Row],[Category]:[Category]],Operations[[Month]:[Month]],Summary1[[#Headers],[4]])</f>
        <v>0</v>
      </c>
      <c r="G11" s="9">
        <f>SUMIFS(Operations[[Amount]:[Amount]],Operations[[Category]:[Category]],Summary1[[#This Row],[Category]:[Category]],Operations[[Month]:[Month]],Summary1[[#Headers],[5]])</f>
        <v>0</v>
      </c>
      <c r="H11" s="9">
        <f>SUMIFS(Operations[[Amount]:[Amount]],Operations[[Category]:[Category]],Summary1[[#This Row],[Category]:[Category]],Operations[[Month]:[Month]],Summary1[[#Headers],[6]])</f>
        <v>400</v>
      </c>
      <c r="I11" s="9">
        <f>SUMIFS(Operations[[Amount]:[Amount]],Operations[[Category]:[Category]],Summary1[[#This Row],[Category]:[Category]],Operations[[Month]:[Month]],Summary1[[#Headers],[7]])</f>
        <v>0</v>
      </c>
      <c r="J11" s="9">
        <f>SUMIFS(Operations[[Amount]:[Amount]],Operations[[Category]:[Category]],Summary1[[#This Row],[Category]:[Category]],Operations[[Month]:[Month]],Summary1[[#Headers],[8]])</f>
        <v>0</v>
      </c>
      <c r="K11" s="9">
        <f>SUMIFS(Operations[[Amount]:[Amount]],Operations[[Category]:[Category]],Summary1[[#This Row],[Category]:[Category]],Operations[[Month]:[Month]],Summary1[[#Headers],[9]])</f>
        <v>0</v>
      </c>
      <c r="L11" s="9">
        <f>SUMIFS(Operations[[Amount]:[Amount]],Operations[[Category]:[Category]],Summary1[[#This Row],[Category]:[Category]],Operations[[Month]:[Month]],Summary1[[#Headers],[10]])</f>
        <v>0</v>
      </c>
      <c r="M11" s="9">
        <f>SUMIFS(Operations[[Amount]:[Amount]],Operations[[Category]:[Category]],Summary1[[#This Row],[Category]:[Category]],Operations[[Month]:[Month]],Summary1[[#Headers],[11]])</f>
        <v>0</v>
      </c>
      <c r="N11" s="9">
        <f>SUMIFS(Operations[[Amount]:[Amount]],Operations[[Category]:[Category]],Summary1[[#This Row],[Category]:[Category]],Operations[[Month]:[Month]],Summary1[[#Headers],[12]])</f>
        <v>0</v>
      </c>
      <c r="O11" s="9">
        <f>SUM(Summary1[[#This Row],[1]:[12]])</f>
        <v>650</v>
      </c>
    </row>
    <row r="12" spans="1:15" x14ac:dyDescent="0.25">
      <c r="A12" t="s">
        <v>28</v>
      </c>
      <c r="B12" t="s">
        <v>33</v>
      </c>
      <c r="C12" s="9">
        <f>SUMIFS(Operations[[Amount]:[Amount]],Operations[[Category]:[Category]],Summary1[[#This Row],[Category]:[Category]],Operations[[Month]:[Month]],Summary1[[#Headers],[1]])</f>
        <v>105.5</v>
      </c>
      <c r="D12" s="9">
        <f>SUMIFS(Operations[[Amount]:[Amount]],Operations[[Category]:[Category]],Summary1[[#This Row],[Category]:[Category]],Operations[[Month]:[Month]],Summary1[[#Headers],[2]])</f>
        <v>115</v>
      </c>
      <c r="E12" s="9">
        <f>SUMIFS(Operations[[Amount]:[Amount]],Operations[[Category]:[Category]],Summary1[[#This Row],[Category]:[Category]],Operations[[Month]:[Month]],Summary1[[#Headers],[3]])</f>
        <v>150</v>
      </c>
      <c r="F12" s="9">
        <f>SUMIFS(Operations[[Amount]:[Amount]],Operations[[Category]:[Category]],Summary1[[#This Row],[Category]:[Category]],Operations[[Month]:[Month]],Summary1[[#Headers],[4]])</f>
        <v>150</v>
      </c>
      <c r="G12" s="9">
        <f>SUMIFS(Operations[[Amount]:[Amount]],Operations[[Category]:[Category]],Summary1[[#This Row],[Category]:[Category]],Operations[[Month]:[Month]],Summary1[[#Headers],[5]])</f>
        <v>0</v>
      </c>
      <c r="H12" s="9">
        <f>SUMIFS(Operations[[Amount]:[Amount]],Operations[[Category]:[Category]],Summary1[[#This Row],[Category]:[Category]],Operations[[Month]:[Month]],Summary1[[#Headers],[6]])</f>
        <v>0</v>
      </c>
      <c r="I12" s="9">
        <f>SUMIFS(Operations[[Amount]:[Amount]],Operations[[Category]:[Category]],Summary1[[#This Row],[Category]:[Category]],Operations[[Month]:[Month]],Summary1[[#Headers],[7]])</f>
        <v>120</v>
      </c>
      <c r="J12" s="9">
        <f>SUMIFS(Operations[[Amount]:[Amount]],Operations[[Category]:[Category]],Summary1[[#This Row],[Category]:[Category]],Operations[[Month]:[Month]],Summary1[[#Headers],[8]])</f>
        <v>0</v>
      </c>
      <c r="K12" s="9">
        <f>SUMIFS(Operations[[Amount]:[Amount]],Operations[[Category]:[Category]],Summary1[[#This Row],[Category]:[Category]],Operations[[Month]:[Month]],Summary1[[#Headers],[9]])</f>
        <v>0</v>
      </c>
      <c r="L12" s="9">
        <f>SUMIFS(Operations[[Amount]:[Amount]],Operations[[Category]:[Category]],Summary1[[#This Row],[Category]:[Category]],Operations[[Month]:[Month]],Summary1[[#Headers],[10]])</f>
        <v>0</v>
      </c>
      <c r="M12" s="9">
        <f>SUMIFS(Operations[[Amount]:[Amount]],Operations[[Category]:[Category]],Summary1[[#This Row],[Category]:[Category]],Operations[[Month]:[Month]],Summary1[[#Headers],[11]])</f>
        <v>0</v>
      </c>
      <c r="N12" s="9">
        <f>SUMIFS(Operations[[Amount]:[Amount]],Operations[[Category]:[Category]],Summary1[[#This Row],[Category]:[Category]],Operations[[Month]:[Month]],Summary1[[#Headers],[12]])</f>
        <v>0</v>
      </c>
      <c r="O12" s="9">
        <f>SUM(Summary1[[#This Row],[1]:[12]])</f>
        <v>640.5</v>
      </c>
    </row>
    <row r="13" spans="1:15" x14ac:dyDescent="0.25">
      <c r="A13" t="s">
        <v>29</v>
      </c>
      <c r="B13" t="s">
        <v>33</v>
      </c>
      <c r="C13" s="9">
        <f>SUMIFS(Operations[[Amount]:[Amount]],Operations[[Category]:[Category]],Summary1[[#This Row],[Category]:[Category]],Operations[[Month]:[Month]],Summary1[[#Headers],[1]])</f>
        <v>0</v>
      </c>
      <c r="D13" s="9">
        <f>SUMIFS(Operations[[Amount]:[Amount]],Operations[[Category]:[Category]],Summary1[[#This Row],[Category]:[Category]],Operations[[Month]:[Month]],Summary1[[#Headers],[2]])</f>
        <v>0</v>
      </c>
      <c r="E13" s="9">
        <f>SUMIFS(Operations[[Amount]:[Amount]],Operations[[Category]:[Category]],Summary1[[#This Row],[Category]:[Category]],Operations[[Month]:[Month]],Summary1[[#Headers],[3]])</f>
        <v>5</v>
      </c>
      <c r="F13" s="9">
        <f>SUMIFS(Operations[[Amount]:[Amount]],Operations[[Category]:[Category]],Summary1[[#This Row],[Category]:[Category]],Operations[[Month]:[Month]],Summary1[[#Headers],[4]])</f>
        <v>50</v>
      </c>
      <c r="G13" s="9">
        <f>SUMIFS(Operations[[Amount]:[Amount]],Operations[[Category]:[Category]],Summary1[[#This Row],[Category]:[Category]],Operations[[Month]:[Month]],Summary1[[#Headers],[5]])</f>
        <v>0</v>
      </c>
      <c r="H13" s="9">
        <f>SUMIFS(Operations[[Amount]:[Amount]],Operations[[Category]:[Category]],Summary1[[#This Row],[Category]:[Category]],Operations[[Month]:[Month]],Summary1[[#Headers],[6]])</f>
        <v>0</v>
      </c>
      <c r="I13" s="9">
        <f>SUMIFS(Operations[[Amount]:[Amount]],Operations[[Category]:[Category]],Summary1[[#This Row],[Category]:[Category]],Operations[[Month]:[Month]],Summary1[[#Headers],[7]])</f>
        <v>800</v>
      </c>
      <c r="J13" s="9">
        <f>SUMIFS(Operations[[Amount]:[Amount]],Operations[[Category]:[Category]],Summary1[[#This Row],[Category]:[Category]],Operations[[Month]:[Month]],Summary1[[#Headers],[8]])</f>
        <v>400</v>
      </c>
      <c r="K13" s="9">
        <f>SUMIFS(Operations[[Amount]:[Amount]],Operations[[Category]:[Category]],Summary1[[#This Row],[Category]:[Category]],Operations[[Month]:[Month]],Summary1[[#Headers],[9]])</f>
        <v>0</v>
      </c>
      <c r="L13" s="9">
        <f>SUMIFS(Operations[[Amount]:[Amount]],Operations[[Category]:[Category]],Summary1[[#This Row],[Category]:[Category]],Operations[[Month]:[Month]],Summary1[[#Headers],[10]])</f>
        <v>0</v>
      </c>
      <c r="M13" s="9">
        <f>SUMIFS(Operations[[Amount]:[Amount]],Operations[[Category]:[Category]],Summary1[[#This Row],[Category]:[Category]],Operations[[Month]:[Month]],Summary1[[#Headers],[11]])</f>
        <v>400</v>
      </c>
      <c r="N13" s="9">
        <f>SUMIFS(Operations[[Amount]:[Amount]],Operations[[Category]:[Category]],Summary1[[#This Row],[Category]:[Category]],Operations[[Month]:[Month]],Summary1[[#Headers],[12]])</f>
        <v>2000</v>
      </c>
      <c r="O13" s="9">
        <f>SUM(Summary1[[#This Row],[1]:[12]])</f>
        <v>3655</v>
      </c>
    </row>
    <row r="14" spans="1:15" x14ac:dyDescent="0.25">
      <c r="A14" t="s">
        <v>30</v>
      </c>
      <c r="B14" t="s">
        <v>33</v>
      </c>
      <c r="C14" s="9">
        <f>SUMIFS(Operations[[Amount]:[Amount]],Operations[[Category]:[Category]],Summary1[[#This Row],[Category]:[Category]],Operations[[Month]:[Month]],Summary1[[#Headers],[1]])</f>
        <v>800</v>
      </c>
      <c r="D14" s="9">
        <f>SUMIFS(Operations[[Amount]:[Amount]],Operations[[Category]:[Category]],Summary1[[#This Row],[Category]:[Category]],Operations[[Month]:[Month]],Summary1[[#Headers],[2]])</f>
        <v>1950</v>
      </c>
      <c r="E14" s="9">
        <f>SUMIFS(Operations[[Amount]:[Amount]],Operations[[Category]:[Category]],Summary1[[#This Row],[Category]:[Category]],Operations[[Month]:[Month]],Summary1[[#Headers],[3]])</f>
        <v>0</v>
      </c>
      <c r="F14" s="9">
        <f>SUMIFS(Operations[[Amount]:[Amount]],Operations[[Category]:[Category]],Summary1[[#This Row],[Category]:[Category]],Operations[[Month]:[Month]],Summary1[[#Headers],[4]])</f>
        <v>0</v>
      </c>
      <c r="G14" s="9">
        <f>SUMIFS(Operations[[Amount]:[Amount]],Operations[[Category]:[Category]],Summary1[[#This Row],[Category]:[Category]],Operations[[Month]:[Month]],Summary1[[#Headers],[5]])</f>
        <v>0</v>
      </c>
      <c r="H14" s="9">
        <f>SUMIFS(Operations[[Amount]:[Amount]],Operations[[Category]:[Category]],Summary1[[#This Row],[Category]:[Category]],Operations[[Month]:[Month]],Summary1[[#Headers],[6]])</f>
        <v>0</v>
      </c>
      <c r="I14" s="9">
        <f>SUMIFS(Operations[[Amount]:[Amount]],Operations[[Category]:[Category]],Summary1[[#This Row],[Category]:[Category]],Operations[[Month]:[Month]],Summary1[[#Headers],[7]])</f>
        <v>0</v>
      </c>
      <c r="J14" s="9">
        <f>SUMIFS(Operations[[Amount]:[Amount]],Operations[[Category]:[Category]],Summary1[[#This Row],[Category]:[Category]],Operations[[Month]:[Month]],Summary1[[#Headers],[8]])</f>
        <v>0</v>
      </c>
      <c r="K14" s="9">
        <f>SUMIFS(Operations[[Amount]:[Amount]],Operations[[Category]:[Category]],Summary1[[#This Row],[Category]:[Category]],Operations[[Month]:[Month]],Summary1[[#Headers],[9]])</f>
        <v>0</v>
      </c>
      <c r="L14" s="9">
        <f>SUMIFS(Operations[[Amount]:[Amount]],Operations[[Category]:[Category]],Summary1[[#This Row],[Category]:[Category]],Operations[[Month]:[Month]],Summary1[[#Headers],[10]])</f>
        <v>0</v>
      </c>
      <c r="M14" s="9">
        <f>SUMIFS(Operations[[Amount]:[Amount]],Operations[[Category]:[Category]],Summary1[[#This Row],[Category]:[Category]],Operations[[Month]:[Month]],Summary1[[#Headers],[11]])</f>
        <v>0</v>
      </c>
      <c r="N14" s="9">
        <f>SUMIFS(Operations[[Amount]:[Amount]],Operations[[Category]:[Category]],Summary1[[#This Row],[Category]:[Category]],Operations[[Month]:[Month]],Summary1[[#Headers],[12]])</f>
        <v>0</v>
      </c>
      <c r="O14" s="9">
        <f>SUM(Summary1[[#This Row],[1]:[12]])</f>
        <v>2750</v>
      </c>
    </row>
    <row r="15" spans="1:15" x14ac:dyDescent="0.25">
      <c r="A15" t="s">
        <v>26</v>
      </c>
      <c r="B15" t="s">
        <v>33</v>
      </c>
      <c r="C15" s="9">
        <f>SUMIFS(Operations[[Amount]:[Amount]],Operations[[Category]:[Category]],Summary1[[#This Row],[Category]:[Category]],Operations[[Month]:[Month]],Summary1[[#Headers],[1]])</f>
        <v>4500</v>
      </c>
      <c r="D15" s="9">
        <f>SUMIFS(Operations[[Amount]:[Amount]],Operations[[Category]:[Category]],Summary1[[#This Row],[Category]:[Category]],Operations[[Month]:[Month]],Summary1[[#Headers],[2]])</f>
        <v>4500</v>
      </c>
      <c r="E15" s="9">
        <f>SUMIFS(Operations[[Amount]:[Amount]],Operations[[Category]:[Category]],Summary1[[#This Row],[Category]:[Category]],Operations[[Month]:[Month]],Summary1[[#Headers],[3]])</f>
        <v>4500</v>
      </c>
      <c r="F15" s="9">
        <f>SUMIFS(Operations[[Amount]:[Amount]],Operations[[Category]:[Category]],Summary1[[#This Row],[Category]:[Category]],Operations[[Month]:[Month]],Summary1[[#Headers],[4]])</f>
        <v>4500</v>
      </c>
      <c r="G15" s="9">
        <f>SUMIFS(Operations[[Amount]:[Amount]],Operations[[Category]:[Category]],Summary1[[#This Row],[Category]:[Category]],Operations[[Month]:[Month]],Summary1[[#Headers],[5]])</f>
        <v>4500</v>
      </c>
      <c r="H15" s="9">
        <f>SUMIFS(Operations[[Amount]:[Amount]],Operations[[Category]:[Category]],Summary1[[#This Row],[Category]:[Category]],Operations[[Month]:[Month]],Summary1[[#Headers],[6]])</f>
        <v>4500</v>
      </c>
      <c r="I15" s="9">
        <f>SUMIFS(Operations[[Amount]:[Amount]],Operations[[Category]:[Category]],Summary1[[#This Row],[Category]:[Category]],Operations[[Month]:[Month]],Summary1[[#Headers],[7]])</f>
        <v>4500</v>
      </c>
      <c r="J15" s="9">
        <f>SUMIFS(Operations[[Amount]:[Amount]],Operations[[Category]:[Category]],Summary1[[#This Row],[Category]:[Category]],Operations[[Month]:[Month]],Summary1[[#Headers],[8]])</f>
        <v>4500</v>
      </c>
      <c r="K15" s="9">
        <f>SUMIFS(Operations[[Amount]:[Amount]],Operations[[Category]:[Category]],Summary1[[#This Row],[Category]:[Category]],Operations[[Month]:[Month]],Summary1[[#Headers],[9]])</f>
        <v>4500</v>
      </c>
      <c r="L15" s="9">
        <f>SUMIFS(Operations[[Amount]:[Amount]],Operations[[Category]:[Category]],Summary1[[#This Row],[Category]:[Category]],Operations[[Month]:[Month]],Summary1[[#Headers],[10]])</f>
        <v>4500</v>
      </c>
      <c r="M15" s="9">
        <f>SUMIFS(Operations[[Amount]:[Amount]],Operations[[Category]:[Category]],Summary1[[#This Row],[Category]:[Category]],Operations[[Month]:[Month]],Summary1[[#Headers],[11]])</f>
        <v>4500</v>
      </c>
      <c r="N15" s="9">
        <f>SUMIFS(Operations[[Amount]:[Amount]],Operations[[Category]:[Category]],Summary1[[#This Row],[Category]:[Category]],Operations[[Month]:[Month]],Summary1[[#Headers],[12]])</f>
        <v>4500</v>
      </c>
      <c r="O15" s="9">
        <f>SUM(Summary1[[#This Row],[1]:[12]])</f>
        <v>54000</v>
      </c>
    </row>
    <row r="16" spans="1:15" x14ac:dyDescent="0.25">
      <c r="A16" t="s">
        <v>27</v>
      </c>
      <c r="B16" t="s">
        <v>33</v>
      </c>
      <c r="C16" s="9">
        <f>SUMIFS(Operations[[Amount]:[Amount]],Operations[[Category]:[Category]],Summary1[[#This Row],[Category]:[Category]],Operations[[Month]:[Month]],Summary1[[#Headers],[1]])</f>
        <v>0</v>
      </c>
      <c r="D16" s="9">
        <f>SUMIFS(Operations[[Amount]:[Amount]],Operations[[Category]:[Category]],Summary1[[#This Row],[Category]:[Category]],Operations[[Month]:[Month]],Summary1[[#Headers],[2]])</f>
        <v>0</v>
      </c>
      <c r="E16" s="9">
        <f>SUMIFS(Operations[[Amount]:[Amount]],Operations[[Category]:[Category]],Summary1[[#This Row],[Category]:[Category]],Operations[[Month]:[Month]],Summary1[[#Headers],[3]])</f>
        <v>0</v>
      </c>
      <c r="F16" s="9">
        <f>SUMIFS(Operations[[Amount]:[Amount]],Operations[[Category]:[Category]],Summary1[[#This Row],[Category]:[Category]],Operations[[Month]:[Month]],Summary1[[#Headers],[4]])</f>
        <v>0</v>
      </c>
      <c r="G16" s="9">
        <f>SUMIFS(Operations[[Amount]:[Amount]],Operations[[Category]:[Category]],Summary1[[#This Row],[Category]:[Category]],Operations[[Month]:[Month]],Summary1[[#Headers],[5]])</f>
        <v>0</v>
      </c>
      <c r="H16" s="9">
        <f>SUMIFS(Operations[[Amount]:[Amount]],Operations[[Category]:[Category]],Summary1[[#This Row],[Category]:[Category]],Operations[[Month]:[Month]],Summary1[[#Headers],[6]])</f>
        <v>0</v>
      </c>
      <c r="I16" s="9">
        <f>SUMIFS(Operations[[Amount]:[Amount]],Operations[[Category]:[Category]],Summary1[[#This Row],[Category]:[Category]],Operations[[Month]:[Month]],Summary1[[#Headers],[7]])</f>
        <v>500</v>
      </c>
      <c r="J16" s="9">
        <f>SUMIFS(Operations[[Amount]:[Amount]],Operations[[Category]:[Category]],Summary1[[#This Row],[Category]:[Category]],Operations[[Month]:[Month]],Summary1[[#Headers],[8]])</f>
        <v>500</v>
      </c>
      <c r="K16" s="9">
        <f>SUMIFS(Operations[[Amount]:[Amount]],Operations[[Category]:[Category]],Summary1[[#This Row],[Category]:[Category]],Operations[[Month]:[Month]],Summary1[[#Headers],[9]])</f>
        <v>0</v>
      </c>
      <c r="L16" s="9">
        <f>SUMIFS(Operations[[Amount]:[Amount]],Operations[[Category]:[Category]],Summary1[[#This Row],[Category]:[Category]],Operations[[Month]:[Month]],Summary1[[#Headers],[10]])</f>
        <v>0</v>
      </c>
      <c r="M16" s="9">
        <f>SUMIFS(Operations[[Amount]:[Amount]],Operations[[Category]:[Category]],Summary1[[#This Row],[Category]:[Category]],Operations[[Month]:[Month]],Summary1[[#Headers],[11]])</f>
        <v>0</v>
      </c>
      <c r="N16" s="9">
        <f>SUMIFS(Operations[[Amount]:[Amount]],Operations[[Category]:[Category]],Summary1[[#This Row],[Category]:[Category]],Operations[[Month]:[Month]],Summary1[[#Headers],[12]])</f>
        <v>0</v>
      </c>
      <c r="O16" s="9">
        <f>SUM(Summary1[[#This Row],[1]:[12]])</f>
        <v>1000</v>
      </c>
    </row>
    <row r="17" spans="1:15" x14ac:dyDescent="0.25">
      <c r="A17" t="s">
        <v>31</v>
      </c>
      <c r="B17" t="s">
        <v>34</v>
      </c>
      <c r="C17" s="9">
        <f>SUMIFS(Operations[[Amount]:[Amount]],Operations[[Category]:[Category]],Summary1[[#This Row],[Category]:[Category]],Operations[[Month]:[Month]],Summary1[[#Headers],[1]])</f>
        <v>0</v>
      </c>
      <c r="D17" s="9">
        <f>SUMIFS(Operations[[Amount]:[Amount]],Operations[[Category]:[Category]],Summary1[[#This Row],[Category]:[Category]],Operations[[Month]:[Month]],Summary1[[#Headers],[2]])</f>
        <v>0</v>
      </c>
      <c r="E17" s="9">
        <f>SUMIFS(Operations[[Amount]:[Amount]],Operations[[Category]:[Category]],Summary1[[#This Row],[Category]:[Category]],Operations[[Month]:[Month]],Summary1[[#Headers],[3]])</f>
        <v>0</v>
      </c>
      <c r="F17" s="9">
        <f>SUMIFS(Operations[[Amount]:[Amount]],Operations[[Category]:[Category]],Summary1[[#This Row],[Category]:[Category]],Operations[[Month]:[Month]],Summary1[[#Headers],[4]])</f>
        <v>0</v>
      </c>
      <c r="G17" s="9">
        <f>SUMIFS(Operations[[Amount]:[Amount]],Operations[[Category]:[Category]],Summary1[[#This Row],[Category]:[Category]],Operations[[Month]:[Month]],Summary1[[#Headers],[5]])</f>
        <v>0</v>
      </c>
      <c r="H17" s="9">
        <f>SUMIFS(Operations[[Amount]:[Amount]],Operations[[Category]:[Category]],Summary1[[#This Row],[Category]:[Category]],Operations[[Month]:[Month]],Summary1[[#Headers],[6]])</f>
        <v>0</v>
      </c>
      <c r="I17" s="9">
        <f>SUMIFS(Operations[[Amount]:[Amount]],Operations[[Category]:[Category]],Summary1[[#This Row],[Category]:[Category]],Operations[[Month]:[Month]],Summary1[[#Headers],[7]])</f>
        <v>0</v>
      </c>
      <c r="J17" s="9">
        <f>SUMIFS(Operations[[Amount]:[Amount]],Operations[[Category]:[Category]],Summary1[[#This Row],[Category]:[Category]],Operations[[Month]:[Month]],Summary1[[#Headers],[8]])</f>
        <v>-1020</v>
      </c>
      <c r="K17" s="9">
        <f>SUMIFS(Operations[[Amount]:[Amount]],Operations[[Category]:[Category]],Summary1[[#This Row],[Category]:[Category]],Operations[[Month]:[Month]],Summary1[[#Headers],[9]])</f>
        <v>0</v>
      </c>
      <c r="L17" s="9">
        <f>SUMIFS(Operations[[Amount]:[Amount]],Operations[[Category]:[Category]],Summary1[[#This Row],[Category]:[Category]],Operations[[Month]:[Month]],Summary1[[#Headers],[10]])</f>
        <v>0</v>
      </c>
      <c r="M17" s="9">
        <f>SUMIFS(Operations[[Amount]:[Amount]],Operations[[Category]:[Category]],Summary1[[#This Row],[Category]:[Category]],Operations[[Month]:[Month]],Summary1[[#Headers],[11]])</f>
        <v>0</v>
      </c>
      <c r="N17" s="9">
        <f>SUMIFS(Operations[[Amount]:[Amount]],Operations[[Category]:[Category]],Summary1[[#This Row],[Category]:[Category]],Operations[[Month]:[Month]],Summary1[[#Headers],[12]])</f>
        <v>0</v>
      </c>
      <c r="O17" s="9">
        <f>SUM(Summary1[[#This Row],[1]:[12]])</f>
        <v>-1020</v>
      </c>
    </row>
    <row r="18" spans="1:15" x14ac:dyDescent="0.25">
      <c r="B18" t="s">
        <v>38</v>
      </c>
      <c r="C18" s="9">
        <f t="shared" ref="C18:O18" si="0">SUM(C2:C17)</f>
        <v>845.5</v>
      </c>
      <c r="D18" s="9">
        <f t="shared" si="0"/>
        <v>2464.5</v>
      </c>
      <c r="E18" s="9">
        <f t="shared" si="0"/>
        <v>755.60999999999967</v>
      </c>
      <c r="F18" s="9">
        <f t="shared" si="0"/>
        <v>726.84000000000015</v>
      </c>
      <c r="G18" s="9">
        <f t="shared" si="0"/>
        <v>1290</v>
      </c>
      <c r="H18" s="9">
        <f t="shared" si="0"/>
        <v>1170</v>
      </c>
      <c r="I18" s="9">
        <f t="shared" si="0"/>
        <v>2915</v>
      </c>
      <c r="J18" s="9">
        <f t="shared" si="0"/>
        <v>390.5</v>
      </c>
      <c r="K18" s="9">
        <f t="shared" si="0"/>
        <v>1751.5</v>
      </c>
      <c r="L18" s="9">
        <f t="shared" si="0"/>
        <v>1670</v>
      </c>
      <c r="M18" s="9">
        <f t="shared" si="0"/>
        <v>1400</v>
      </c>
      <c r="N18" s="9">
        <f t="shared" si="0"/>
        <v>2420</v>
      </c>
      <c r="O18" s="9">
        <f t="shared" si="0"/>
        <v>17799.449999999997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2B57-770C-41A3-B823-5348C27F2383}">
  <dimension ref="A1:O22"/>
  <sheetViews>
    <sheetView workbookViewId="0">
      <selection activeCell="C2" sqref="C2"/>
    </sheetView>
  </sheetViews>
  <sheetFormatPr defaultRowHeight="15" outlineLevelRow="2" x14ac:dyDescent="0.25"/>
  <cols>
    <col min="1" max="1" width="11" customWidth="1"/>
    <col min="2" max="2" width="14.85546875" bestFit="1" customWidth="1"/>
    <col min="3" max="14" width="11.28515625" bestFit="1" customWidth="1"/>
    <col min="15" max="15" width="12.28515625" bestFit="1" customWidth="1"/>
  </cols>
  <sheetData>
    <row r="1" spans="1:15" x14ac:dyDescent="0.25">
      <c r="A1" t="s">
        <v>3</v>
      </c>
      <c r="B1" t="s">
        <v>4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38</v>
      </c>
    </row>
    <row r="2" spans="1:15" outlineLevel="2" x14ac:dyDescent="0.25">
      <c r="A2" t="s">
        <v>18</v>
      </c>
      <c r="B2" t="s">
        <v>32</v>
      </c>
      <c r="C2" s="6">
        <f>SUMIFS(Operations[[Amount]:[Amount]],Operations[[Category]:[Category]],$A2,Operations[[Month]:[Month]],C$1)</f>
        <v>-2000</v>
      </c>
      <c r="D2" s="6">
        <f>SUMIFS(Operations[[Amount]:[Amount]],Operations[[Category]:[Category]],$A2,Operations[[Month]:[Month]],D$1)</f>
        <v>-2000</v>
      </c>
      <c r="E2" s="6">
        <f>SUMIFS(Operations[[Amount]:[Amount]],Operations[[Category]:[Category]],$A2,Operations[[Month]:[Month]],E$1)</f>
        <v>-2000</v>
      </c>
      <c r="F2" s="6">
        <f>SUMIFS(Operations[[Amount]:[Amount]],Operations[[Category]:[Category]],$A2,Operations[[Month]:[Month]],F$1)</f>
        <v>-2000</v>
      </c>
      <c r="G2" s="6">
        <f>SUMIFS(Operations[[Amount]:[Amount]],Operations[[Category]:[Category]],$A2,Operations[[Month]:[Month]],G$1)</f>
        <v>-2000</v>
      </c>
      <c r="H2" s="6">
        <f>SUMIFS(Operations[[Amount]:[Amount]],Operations[[Category]:[Category]],$A2,Operations[[Month]:[Month]],H$1)</f>
        <v>-2000</v>
      </c>
      <c r="I2" s="6">
        <f>SUMIFS(Operations[[Amount]:[Amount]],Operations[[Category]:[Category]],$A2,Operations[[Month]:[Month]],I$1)</f>
        <v>-2000</v>
      </c>
      <c r="J2" s="6">
        <f>SUMIFS(Operations[[Amount]:[Amount]],Operations[[Category]:[Category]],$A2,Operations[[Month]:[Month]],J$1)</f>
        <v>-2000</v>
      </c>
      <c r="K2" s="6">
        <f>SUMIFS(Operations[[Amount]:[Amount]],Operations[[Category]:[Category]],$A2,Operations[[Month]:[Month]],K$1)</f>
        <v>-2000</v>
      </c>
      <c r="L2" s="6">
        <f>SUMIFS(Operations[[Amount]:[Amount]],Operations[[Category]:[Category]],$A2,Operations[[Month]:[Month]],L$1)</f>
        <v>-2000</v>
      </c>
      <c r="M2" s="6">
        <f>SUMIFS(Operations[[Amount]:[Amount]],Operations[[Category]:[Category]],$A2,Operations[[Month]:[Month]],M$1)</f>
        <v>-2000</v>
      </c>
      <c r="N2" s="6">
        <f>SUMIFS(Operations[[Amount]:[Amount]],Operations[[Category]:[Category]],$A2,Operations[[Month]:[Month]],N$1)</f>
        <v>-2000</v>
      </c>
      <c r="O2" s="6">
        <f>SUM(C2:N2)</f>
        <v>-24000</v>
      </c>
    </row>
    <row r="3" spans="1:15" outlineLevel="2" x14ac:dyDescent="0.25">
      <c r="A3" t="s">
        <v>22</v>
      </c>
      <c r="B3" t="s">
        <v>32</v>
      </c>
      <c r="C3" s="6">
        <f>SUMIFS(Operations[[Amount]:[Amount]],Operations[[Category]:[Category]],$A3,Operations[[Month]:[Month]],C$1)</f>
        <v>-80</v>
      </c>
      <c r="D3" s="6">
        <f>SUMIFS(Operations[[Amount]:[Amount]],Operations[[Category]:[Category]],$A3,Operations[[Month]:[Month]],D$1)</f>
        <v>0</v>
      </c>
      <c r="E3" s="6">
        <f>SUMIFS(Operations[[Amount]:[Amount]],Operations[[Category]:[Category]],$A3,Operations[[Month]:[Month]],E$1)</f>
        <v>-469.9</v>
      </c>
      <c r="F3" s="6">
        <f>SUMIFS(Operations[[Amount]:[Amount]],Operations[[Category]:[Category]],$A3,Operations[[Month]:[Month]],F$1)</f>
        <v>-149</v>
      </c>
      <c r="G3" s="6">
        <f>SUMIFS(Operations[[Amount]:[Amount]],Operations[[Category]:[Category]],$A3,Operations[[Month]:[Month]],G$1)</f>
        <v>0</v>
      </c>
      <c r="H3" s="6">
        <f>SUMIFS(Operations[[Amount]:[Amount]],Operations[[Category]:[Category]],$A3,Operations[[Month]:[Month]],H$1)</f>
        <v>-300</v>
      </c>
      <c r="I3" s="6">
        <f>SUMIFS(Operations[[Amount]:[Amount]],Operations[[Category]:[Category]],$A3,Operations[[Month]:[Month]],I$1)</f>
        <v>250</v>
      </c>
      <c r="J3" s="6">
        <f>SUMIFS(Operations[[Amount]:[Amount]],Operations[[Category]:[Category]],$A3,Operations[[Month]:[Month]],J$1)</f>
        <v>-300</v>
      </c>
      <c r="K3" s="6">
        <f>SUMIFS(Operations[[Amount]:[Amount]],Operations[[Category]:[Category]],$A3,Operations[[Month]:[Month]],K$1)</f>
        <v>0</v>
      </c>
      <c r="L3" s="6">
        <f>SUMIFS(Operations[[Amount]:[Amount]],Operations[[Category]:[Category]],$A3,Operations[[Month]:[Month]],L$1)</f>
        <v>0</v>
      </c>
      <c r="M3" s="6">
        <f>SUMIFS(Operations[[Amount]:[Amount]],Operations[[Category]:[Category]],$A3,Operations[[Month]:[Month]],M$1)</f>
        <v>-158</v>
      </c>
      <c r="N3" s="6">
        <f>SUMIFS(Operations[[Amount]:[Amount]],Operations[[Category]:[Category]],$A3,Operations[[Month]:[Month]],N$1)</f>
        <v>-120</v>
      </c>
      <c r="O3" s="6">
        <f t="shared" ref="O3:O21" si="0">SUM(C3:N3)</f>
        <v>-1326.9</v>
      </c>
    </row>
    <row r="4" spans="1:15" outlineLevel="2" x14ac:dyDescent="0.25">
      <c r="A4" t="s">
        <v>20</v>
      </c>
      <c r="B4" t="s">
        <v>32</v>
      </c>
      <c r="C4" s="6">
        <f>SUMIFS(Operations[[Amount]:[Amount]],Operations[[Category]:[Category]],$A4,Operations[[Month]:[Month]],C$1)</f>
        <v>-85</v>
      </c>
      <c r="D4" s="6">
        <f>SUMIFS(Operations[[Amount]:[Amount]],Operations[[Category]:[Category]],$A4,Operations[[Month]:[Month]],D$1)</f>
        <v>-350</v>
      </c>
      <c r="E4" s="6">
        <f>SUMIFS(Operations[[Amount]:[Amount]],Operations[[Category]:[Category]],$A4,Operations[[Month]:[Month]],E$1)</f>
        <v>-200</v>
      </c>
      <c r="F4" s="6">
        <f>SUMIFS(Operations[[Amount]:[Amount]],Operations[[Category]:[Category]],$A4,Operations[[Month]:[Month]],F$1)</f>
        <v>-1057.9000000000001</v>
      </c>
      <c r="G4" s="6">
        <f>SUMIFS(Operations[[Amount]:[Amount]],Operations[[Category]:[Category]],$A4,Operations[[Month]:[Month]],G$1)</f>
        <v>-80</v>
      </c>
      <c r="H4" s="6">
        <f>SUMIFS(Operations[[Amount]:[Amount]],Operations[[Category]:[Category]],$A4,Operations[[Month]:[Month]],H$1)</f>
        <v>-200</v>
      </c>
      <c r="I4" s="6">
        <f>SUMIFS(Operations[[Amount]:[Amount]],Operations[[Category]:[Category]],$A4,Operations[[Month]:[Month]],I$1)</f>
        <v>-700</v>
      </c>
      <c r="J4" s="6">
        <f>SUMIFS(Operations[[Amount]:[Amount]],Operations[[Category]:[Category]],$A4,Operations[[Month]:[Month]],J$1)</f>
        <v>-250</v>
      </c>
      <c r="K4" s="6">
        <f>SUMIFS(Operations[[Amount]:[Amount]],Operations[[Category]:[Category]],$A4,Operations[[Month]:[Month]],K$1)</f>
        <v>-20</v>
      </c>
      <c r="L4" s="6">
        <f>SUMIFS(Operations[[Amount]:[Amount]],Operations[[Category]:[Category]],$A4,Operations[[Month]:[Month]],L$1)</f>
        <v>-40</v>
      </c>
      <c r="M4" s="6">
        <f>SUMIFS(Operations[[Amount]:[Amount]],Operations[[Category]:[Category]],$A4,Operations[[Month]:[Month]],M$1)</f>
        <v>-214</v>
      </c>
      <c r="N4" s="6">
        <f>SUMIFS(Operations[[Amount]:[Amount]],Operations[[Category]:[Category]],$A4,Operations[[Month]:[Month]],N$1)</f>
        <v>-450</v>
      </c>
      <c r="O4" s="6">
        <f t="shared" si="0"/>
        <v>-3646.9</v>
      </c>
    </row>
    <row r="5" spans="1:15" outlineLevel="2" x14ac:dyDescent="0.25">
      <c r="A5" t="s">
        <v>17</v>
      </c>
      <c r="B5" t="s">
        <v>32</v>
      </c>
      <c r="C5" s="6">
        <f>SUMIFS(Operations[[Amount]:[Amount]],Operations[[Category]:[Category]],$A5,Operations[[Month]:[Month]],C$1)</f>
        <v>-1715</v>
      </c>
      <c r="D5" s="6">
        <f>SUMIFS(Operations[[Amount]:[Amount]],Operations[[Category]:[Category]],$A5,Operations[[Month]:[Month]],D$1)</f>
        <v>-405.5</v>
      </c>
      <c r="E5" s="6">
        <f>SUMIFS(Operations[[Amount]:[Amount]],Operations[[Category]:[Category]],$A5,Operations[[Month]:[Month]],E$1)</f>
        <v>-734.99</v>
      </c>
      <c r="F5" s="6">
        <f>SUMIFS(Operations[[Amount]:[Amount]],Operations[[Category]:[Category]],$A5,Operations[[Month]:[Month]],F$1)</f>
        <v>-372.26</v>
      </c>
      <c r="G5" s="6">
        <f>SUMIFS(Operations[[Amount]:[Amount]],Operations[[Category]:[Category]],$A5,Operations[[Month]:[Month]],G$1)</f>
        <v>-1000</v>
      </c>
      <c r="H5" s="6">
        <f>SUMIFS(Operations[[Amount]:[Amount]],Operations[[Category]:[Category]],$A5,Operations[[Month]:[Month]],H$1)</f>
        <v>-1000</v>
      </c>
      <c r="I5" s="6">
        <f>SUMIFS(Operations[[Amount]:[Amount]],Operations[[Category]:[Category]],$A5,Operations[[Month]:[Month]],I$1)</f>
        <v>-165</v>
      </c>
      <c r="J5" s="6">
        <f>SUMIFS(Operations[[Amount]:[Amount]],Operations[[Category]:[Category]],$A5,Operations[[Month]:[Month]],J$1)</f>
        <v>-749.5</v>
      </c>
      <c r="K5" s="6">
        <f>SUMIFS(Operations[[Amount]:[Amount]],Operations[[Category]:[Category]],$A5,Operations[[Month]:[Month]],K$1)</f>
        <v>-538.5</v>
      </c>
      <c r="L5" s="6">
        <f>SUMIFS(Operations[[Amount]:[Amount]],Operations[[Category]:[Category]],$A5,Operations[[Month]:[Month]],L$1)</f>
        <v>-600</v>
      </c>
      <c r="M5" s="6">
        <f>SUMIFS(Operations[[Amount]:[Amount]],Operations[[Category]:[Category]],$A5,Operations[[Month]:[Month]],M$1)</f>
        <v>-506</v>
      </c>
      <c r="N5" s="6">
        <f>SUMIFS(Operations[[Amount]:[Amount]],Operations[[Category]:[Category]],$A5,Operations[[Month]:[Month]],N$1)</f>
        <v>-700</v>
      </c>
      <c r="O5" s="6">
        <f t="shared" si="0"/>
        <v>-8486.75</v>
      </c>
    </row>
    <row r="6" spans="1:15" outlineLevel="2" x14ac:dyDescent="0.25">
      <c r="A6" t="s">
        <v>21</v>
      </c>
      <c r="B6" t="s">
        <v>32</v>
      </c>
      <c r="C6" s="6">
        <f>SUMIFS(Operations[[Amount]:[Amount]],Operations[[Category]:[Category]],$A6,Operations[[Month]:[Month]],C$1)</f>
        <v>-100</v>
      </c>
      <c r="D6" s="6">
        <f>SUMIFS(Operations[[Amount]:[Amount]],Operations[[Category]:[Category]],$A6,Operations[[Month]:[Month]],D$1)</f>
        <v>-250</v>
      </c>
      <c r="E6" s="6">
        <f>SUMIFS(Operations[[Amount]:[Amount]],Operations[[Category]:[Category]],$A6,Operations[[Month]:[Month]],E$1)</f>
        <v>-9.5</v>
      </c>
      <c r="F6" s="6">
        <f>SUMIFS(Operations[[Amount]:[Amount]],Operations[[Category]:[Category]],$A6,Operations[[Month]:[Month]],F$1)</f>
        <v>-23.5</v>
      </c>
      <c r="G6" s="6">
        <f>SUMIFS(Operations[[Amount]:[Amount]],Operations[[Category]:[Category]],$A6,Operations[[Month]:[Month]],G$1)</f>
        <v>0</v>
      </c>
      <c r="H6" s="6">
        <f>SUMIFS(Operations[[Amount]:[Amount]],Operations[[Category]:[Category]],$A6,Operations[[Month]:[Month]],H$1)</f>
        <v>-100</v>
      </c>
      <c r="I6" s="6">
        <f>SUMIFS(Operations[[Amount]:[Amount]],Operations[[Category]:[Category]],$A6,Operations[[Month]:[Month]],I$1)</f>
        <v>-300</v>
      </c>
      <c r="J6" s="6">
        <f>SUMIFS(Operations[[Amount]:[Amount]],Operations[[Category]:[Category]],$A6,Operations[[Month]:[Month]],J$1)</f>
        <v>-400</v>
      </c>
      <c r="K6" s="6">
        <f>SUMIFS(Operations[[Amount]:[Amount]],Operations[[Category]:[Category]],$A6,Operations[[Month]:[Month]],K$1)</f>
        <v>0</v>
      </c>
      <c r="L6" s="6">
        <f>SUMIFS(Operations[[Amount]:[Amount]],Operations[[Category]:[Category]],$A6,Operations[[Month]:[Month]],L$1)</f>
        <v>0</v>
      </c>
      <c r="M6" s="6">
        <f>SUMIFS(Operations[[Amount]:[Amount]],Operations[[Category]:[Category]],$A6,Operations[[Month]:[Month]],M$1)</f>
        <v>-133</v>
      </c>
      <c r="N6" s="6">
        <f>SUMIFS(Operations[[Amount]:[Amount]],Operations[[Category]:[Category]],$A6,Operations[[Month]:[Month]],N$1)</f>
        <v>-10</v>
      </c>
      <c r="O6" s="6">
        <f t="shared" si="0"/>
        <v>-1326</v>
      </c>
    </row>
    <row r="7" spans="1:15" outlineLevel="2" x14ac:dyDescent="0.25">
      <c r="A7" t="s">
        <v>19</v>
      </c>
      <c r="B7" t="s">
        <v>32</v>
      </c>
      <c r="C7" s="6">
        <f>SUMIFS(Operations[[Amount]:[Amount]],Operations[[Category]:[Category]],$A7,Operations[[Month]:[Month]],C$1)</f>
        <v>-150</v>
      </c>
      <c r="D7" s="6">
        <f>SUMIFS(Operations[[Amount]:[Amount]],Operations[[Category]:[Category]],$A7,Operations[[Month]:[Month]],D$1)</f>
        <v>-150</v>
      </c>
      <c r="E7" s="6">
        <f>SUMIFS(Operations[[Amount]:[Amount]],Operations[[Category]:[Category]],$A7,Operations[[Month]:[Month]],E$1)</f>
        <v>-23</v>
      </c>
      <c r="F7" s="6">
        <f>SUMIFS(Operations[[Amount]:[Amount]],Operations[[Category]:[Category]],$A7,Operations[[Month]:[Month]],F$1)</f>
        <v>-49</v>
      </c>
      <c r="G7" s="6">
        <f>SUMIFS(Operations[[Amount]:[Amount]],Operations[[Category]:[Category]],$A7,Operations[[Month]:[Month]],G$1)</f>
        <v>-50</v>
      </c>
      <c r="H7" s="6">
        <f>SUMIFS(Operations[[Amount]:[Amount]],Operations[[Category]:[Category]],$A7,Operations[[Month]:[Month]],H$1)</f>
        <v>-50</v>
      </c>
      <c r="I7" s="6">
        <f>SUMIFS(Operations[[Amount]:[Amount]],Operations[[Category]:[Category]],$A7,Operations[[Month]:[Month]],I$1)</f>
        <v>0</v>
      </c>
      <c r="J7" s="6">
        <f>SUMIFS(Operations[[Amount]:[Amount]],Operations[[Category]:[Category]],$A7,Operations[[Month]:[Month]],J$1)</f>
        <v>0</v>
      </c>
      <c r="K7" s="6">
        <f>SUMIFS(Operations[[Amount]:[Amount]],Operations[[Category]:[Category]],$A7,Operations[[Month]:[Month]],K$1)</f>
        <v>-40</v>
      </c>
      <c r="L7" s="6">
        <f>SUMIFS(Operations[[Amount]:[Amount]],Operations[[Category]:[Category]],$A7,Operations[[Month]:[Month]],L$1)</f>
        <v>-40</v>
      </c>
      <c r="M7" s="6">
        <f>SUMIFS(Operations[[Amount]:[Amount]],Operations[[Category]:[Category]],$A7,Operations[[Month]:[Month]],M$1)</f>
        <v>-47</v>
      </c>
      <c r="N7" s="6">
        <f>SUMIFS(Operations[[Amount]:[Amount]],Operations[[Category]:[Category]],$A7,Operations[[Month]:[Month]],N$1)</f>
        <v>0</v>
      </c>
      <c r="O7" s="6">
        <f t="shared" si="0"/>
        <v>-599</v>
      </c>
    </row>
    <row r="8" spans="1:15" outlineLevel="2" x14ac:dyDescent="0.25">
      <c r="A8" t="s">
        <v>24</v>
      </c>
      <c r="B8" t="s">
        <v>32</v>
      </c>
      <c r="C8" s="6">
        <f>SUMIFS(Operations[[Amount]:[Amount]],Operations[[Category]:[Category]],$A8,Operations[[Month]:[Month]],C$1)</f>
        <v>-500</v>
      </c>
      <c r="D8" s="6">
        <f>SUMIFS(Operations[[Amount]:[Amount]],Operations[[Category]:[Category]],$A8,Operations[[Month]:[Month]],D$1)</f>
        <v>-765</v>
      </c>
      <c r="E8" s="6">
        <f>SUMIFS(Operations[[Amount]:[Amount]],Operations[[Category]:[Category]],$A8,Operations[[Month]:[Month]],E$1)</f>
        <v>-300</v>
      </c>
      <c r="F8" s="6">
        <f>SUMIFS(Operations[[Amount]:[Amount]],Operations[[Category]:[Category]],$A8,Operations[[Month]:[Month]],F$1)</f>
        <v>-100</v>
      </c>
      <c r="G8" s="6">
        <f>SUMIFS(Operations[[Amount]:[Amount]],Operations[[Category]:[Category]],$A8,Operations[[Month]:[Month]],G$1)</f>
        <v>0</v>
      </c>
      <c r="H8" s="6">
        <f>SUMIFS(Operations[[Amount]:[Amount]],Operations[[Category]:[Category]],$A8,Operations[[Month]:[Month]],H$1)</f>
        <v>0</v>
      </c>
      <c r="I8" s="6">
        <f>SUMIFS(Operations[[Amount]:[Amount]],Operations[[Category]:[Category]],$A8,Operations[[Month]:[Month]],I$1)</f>
        <v>0</v>
      </c>
      <c r="J8" s="6">
        <f>SUMIFS(Operations[[Amount]:[Amount]],Operations[[Category]:[Category]],$A8,Operations[[Month]:[Month]],J$1)</f>
        <v>0</v>
      </c>
      <c r="K8" s="6">
        <f>SUMIFS(Operations[[Amount]:[Amount]],Operations[[Category]:[Category]],$A8,Operations[[Month]:[Month]],K$1)</f>
        <v>0</v>
      </c>
      <c r="L8" s="6">
        <f>SUMIFS(Operations[[Amount]:[Amount]],Operations[[Category]:[Category]],$A8,Operations[[Month]:[Month]],L$1)</f>
        <v>0</v>
      </c>
      <c r="M8" s="6">
        <f>SUMIFS(Operations[[Amount]:[Amount]],Operations[[Category]:[Category]],$A8,Operations[[Month]:[Month]],M$1)</f>
        <v>-234</v>
      </c>
      <c r="N8" s="6">
        <f>SUMIFS(Operations[[Amount]:[Amount]],Operations[[Category]:[Category]],$A8,Operations[[Month]:[Month]],N$1)</f>
        <v>-700</v>
      </c>
      <c r="O8" s="6">
        <f t="shared" si="0"/>
        <v>-2599</v>
      </c>
    </row>
    <row r="9" spans="1:15" outlineLevel="2" x14ac:dyDescent="0.25">
      <c r="A9" t="s">
        <v>23</v>
      </c>
      <c r="B9" t="s">
        <v>32</v>
      </c>
      <c r="C9" s="6">
        <f>SUMIFS(Operations[[Amount]:[Amount]],Operations[[Category]:[Category]],$A9,Operations[[Month]:[Month]],C$1)</f>
        <v>-100</v>
      </c>
      <c r="D9" s="6">
        <f>SUMIFS(Operations[[Amount]:[Amount]],Operations[[Category]:[Category]],$A9,Operations[[Month]:[Month]],D$1)</f>
        <v>-100</v>
      </c>
      <c r="E9" s="6">
        <f>SUMIFS(Operations[[Amount]:[Amount]],Operations[[Category]:[Category]],$A9,Operations[[Month]:[Month]],E$1)</f>
        <v>-79.5</v>
      </c>
      <c r="F9" s="6">
        <f>SUMIFS(Operations[[Amount]:[Amount]],Operations[[Category]:[Category]],$A9,Operations[[Month]:[Month]],F$1)</f>
        <v>-139</v>
      </c>
      <c r="G9" s="6">
        <f>SUMIFS(Operations[[Amount]:[Amount]],Operations[[Category]:[Category]],$A9,Operations[[Month]:[Month]],G$1)</f>
        <v>0</v>
      </c>
      <c r="H9" s="6">
        <f>SUMIFS(Operations[[Amount]:[Amount]],Operations[[Category]:[Category]],$A9,Operations[[Month]:[Month]],H$1)</f>
        <v>0</v>
      </c>
      <c r="I9" s="6">
        <f>SUMIFS(Operations[[Amount]:[Amount]],Operations[[Category]:[Category]],$A9,Operations[[Month]:[Month]],I$1)</f>
        <v>0</v>
      </c>
      <c r="J9" s="6">
        <f>SUMIFS(Operations[[Amount]:[Amount]],Operations[[Category]:[Category]],$A9,Operations[[Month]:[Month]],J$1)</f>
        <v>0</v>
      </c>
      <c r="K9" s="6">
        <f>SUMIFS(Operations[[Amount]:[Amount]],Operations[[Category]:[Category]],$A9,Operations[[Month]:[Month]],K$1)</f>
        <v>0</v>
      </c>
      <c r="L9" s="6">
        <f>SUMIFS(Operations[[Amount]:[Amount]],Operations[[Category]:[Category]],$A9,Operations[[Month]:[Month]],L$1)</f>
        <v>0</v>
      </c>
      <c r="M9" s="6">
        <f>SUMIFS(Operations[[Amount]:[Amount]],Operations[[Category]:[Category]],$A9,Operations[[Month]:[Month]],M$1)</f>
        <v>0</v>
      </c>
      <c r="N9" s="6">
        <f>SUMIFS(Operations[[Amount]:[Amount]],Operations[[Category]:[Category]],$A9,Operations[[Month]:[Month]],N$1)</f>
        <v>-100</v>
      </c>
      <c r="O9" s="6">
        <f t="shared" si="0"/>
        <v>-518.5</v>
      </c>
    </row>
    <row r="10" spans="1:15" outlineLevel="2" x14ac:dyDescent="0.25">
      <c r="A10" t="s">
        <v>16</v>
      </c>
      <c r="B10" t="s">
        <v>32</v>
      </c>
      <c r="C10" s="6">
        <f>SUMIFS(Operations[[Amount]:[Amount]],Operations[[Category]:[Category]],$A10,Operations[[Month]:[Month]],C$1)</f>
        <v>-80</v>
      </c>
      <c r="D10" s="6">
        <f>SUMIFS(Operations[[Amount]:[Amount]],Operations[[Category]:[Category]],$A10,Operations[[Month]:[Month]],D$1)</f>
        <v>-80</v>
      </c>
      <c r="E10" s="6">
        <f>SUMIFS(Operations[[Amount]:[Amount]],Operations[[Category]:[Category]],$A10,Operations[[Month]:[Month]],E$1)</f>
        <v>-82.5</v>
      </c>
      <c r="F10" s="6">
        <f>SUMIFS(Operations[[Amount]:[Amount]],Operations[[Category]:[Category]],$A10,Operations[[Month]:[Month]],F$1)</f>
        <v>-82.5</v>
      </c>
      <c r="G10" s="6">
        <f>SUMIFS(Operations[[Amount]:[Amount]],Operations[[Category]:[Category]],$A10,Operations[[Month]:[Month]],G$1)</f>
        <v>-80</v>
      </c>
      <c r="H10" s="6">
        <f>SUMIFS(Operations[[Amount]:[Amount]],Operations[[Category]:[Category]],$A10,Operations[[Month]:[Month]],H$1)</f>
        <v>-80</v>
      </c>
      <c r="I10" s="6">
        <f>SUMIFS(Operations[[Amount]:[Amount]],Operations[[Category]:[Category]],$A10,Operations[[Month]:[Month]],I$1)</f>
        <v>-90</v>
      </c>
      <c r="J10" s="6">
        <f>SUMIFS(Operations[[Amount]:[Amount]],Operations[[Category]:[Category]],$A10,Operations[[Month]:[Month]],J$1)</f>
        <v>-290</v>
      </c>
      <c r="K10" s="6">
        <f>SUMIFS(Operations[[Amount]:[Amount]],Operations[[Category]:[Category]],$A10,Operations[[Month]:[Month]],K$1)</f>
        <v>-150</v>
      </c>
      <c r="L10" s="6">
        <f>SUMIFS(Operations[[Amount]:[Amount]],Operations[[Category]:[Category]],$A10,Operations[[Month]:[Month]],L$1)</f>
        <v>-150</v>
      </c>
      <c r="M10" s="6">
        <f>SUMIFS(Operations[[Amount]:[Amount]],Operations[[Category]:[Category]],$A10,Operations[[Month]:[Month]],M$1)</f>
        <v>-208</v>
      </c>
      <c r="N10" s="6">
        <f>SUMIFS(Operations[[Amount]:[Amount]],Operations[[Category]:[Category]],$A10,Operations[[Month]:[Month]],N$1)</f>
        <v>0</v>
      </c>
      <c r="O10" s="6">
        <f t="shared" si="0"/>
        <v>-1373</v>
      </c>
    </row>
    <row r="11" spans="1:15" outlineLevel="1" x14ac:dyDescent="0.25">
      <c r="B11" s="10" t="s">
        <v>51</v>
      </c>
      <c r="C11" s="6">
        <f t="shared" ref="C11:O11" si="1">SUBTOTAL(9,C2:C10)</f>
        <v>-4810</v>
      </c>
      <c r="D11" s="6">
        <f t="shared" si="1"/>
        <v>-4100.5</v>
      </c>
      <c r="E11" s="6">
        <f t="shared" si="1"/>
        <v>-3899.3900000000003</v>
      </c>
      <c r="F11" s="6">
        <f t="shared" si="1"/>
        <v>-3973.16</v>
      </c>
      <c r="G11" s="6">
        <f t="shared" si="1"/>
        <v>-3210</v>
      </c>
      <c r="H11" s="6">
        <f t="shared" si="1"/>
        <v>-3730</v>
      </c>
      <c r="I11" s="6">
        <f t="shared" si="1"/>
        <v>-3005</v>
      </c>
      <c r="J11" s="6">
        <f t="shared" si="1"/>
        <v>-3989.5</v>
      </c>
      <c r="K11" s="6">
        <f t="shared" si="1"/>
        <v>-2748.5</v>
      </c>
      <c r="L11" s="6">
        <f t="shared" si="1"/>
        <v>-2830</v>
      </c>
      <c r="M11" s="6">
        <f t="shared" si="1"/>
        <v>-3500</v>
      </c>
      <c r="N11" s="6">
        <f t="shared" si="1"/>
        <v>-4080</v>
      </c>
      <c r="O11" s="6">
        <f t="shared" si="1"/>
        <v>-43876.05</v>
      </c>
    </row>
    <row r="12" spans="1:15" outlineLevel="2" x14ac:dyDescent="0.25">
      <c r="A12" t="s">
        <v>25</v>
      </c>
      <c r="B12" t="s">
        <v>33</v>
      </c>
      <c r="C12" s="6">
        <f>SUMIFS(Operations[[Amount]:[Amount]],Operations[[Category]:[Category]],$A12,Operations[[Month]:[Month]],C$1)</f>
        <v>250</v>
      </c>
      <c r="D12" s="6">
        <f>SUMIFS(Operations[[Amount]:[Amount]],Operations[[Category]:[Category]],$A12,Operations[[Month]:[Month]],D$1)</f>
        <v>0</v>
      </c>
      <c r="E12" s="6">
        <f>SUMIFS(Operations[[Amount]:[Amount]],Operations[[Category]:[Category]],$A12,Operations[[Month]:[Month]],E$1)</f>
        <v>0</v>
      </c>
      <c r="F12" s="6">
        <f>SUMIFS(Operations[[Amount]:[Amount]],Operations[[Category]:[Category]],$A12,Operations[[Month]:[Month]],F$1)</f>
        <v>0</v>
      </c>
      <c r="G12" s="6">
        <f>SUMIFS(Operations[[Amount]:[Amount]],Operations[[Category]:[Category]],$A12,Operations[[Month]:[Month]],G$1)</f>
        <v>0</v>
      </c>
      <c r="H12" s="6">
        <f>SUMIFS(Operations[[Amount]:[Amount]],Operations[[Category]:[Category]],$A12,Operations[[Month]:[Month]],H$1)</f>
        <v>400</v>
      </c>
      <c r="I12" s="6">
        <f>SUMIFS(Operations[[Amount]:[Amount]],Operations[[Category]:[Category]],$A12,Operations[[Month]:[Month]],I$1)</f>
        <v>0</v>
      </c>
      <c r="J12" s="6">
        <f>SUMIFS(Operations[[Amount]:[Amount]],Operations[[Category]:[Category]],$A12,Operations[[Month]:[Month]],J$1)</f>
        <v>0</v>
      </c>
      <c r="K12" s="6">
        <f>SUMIFS(Operations[[Amount]:[Amount]],Operations[[Category]:[Category]],$A12,Operations[[Month]:[Month]],K$1)</f>
        <v>0</v>
      </c>
      <c r="L12" s="6">
        <f>SUMIFS(Operations[[Amount]:[Amount]],Operations[[Category]:[Category]],$A12,Operations[[Month]:[Month]],L$1)</f>
        <v>0</v>
      </c>
      <c r="M12" s="6">
        <f>SUMIFS(Operations[[Amount]:[Amount]],Operations[[Category]:[Category]],$A12,Operations[[Month]:[Month]],M$1)</f>
        <v>0</v>
      </c>
      <c r="N12" s="6">
        <f>SUMIFS(Operations[[Amount]:[Amount]],Operations[[Category]:[Category]],$A12,Operations[[Month]:[Month]],N$1)</f>
        <v>0</v>
      </c>
      <c r="O12" s="6">
        <f t="shared" si="0"/>
        <v>650</v>
      </c>
    </row>
    <row r="13" spans="1:15" outlineLevel="2" x14ac:dyDescent="0.25">
      <c r="A13" t="s">
        <v>28</v>
      </c>
      <c r="B13" t="s">
        <v>33</v>
      </c>
      <c r="C13" s="6">
        <f>SUMIFS(Operations[[Amount]:[Amount]],Operations[[Category]:[Category]],$A13,Operations[[Month]:[Month]],C$1)</f>
        <v>105.5</v>
      </c>
      <c r="D13" s="6">
        <f>SUMIFS(Operations[[Amount]:[Amount]],Operations[[Category]:[Category]],$A13,Operations[[Month]:[Month]],D$1)</f>
        <v>115</v>
      </c>
      <c r="E13" s="6">
        <f>SUMIFS(Operations[[Amount]:[Amount]],Operations[[Category]:[Category]],$A13,Operations[[Month]:[Month]],E$1)</f>
        <v>150</v>
      </c>
      <c r="F13" s="6">
        <f>SUMIFS(Operations[[Amount]:[Amount]],Operations[[Category]:[Category]],$A13,Operations[[Month]:[Month]],F$1)</f>
        <v>150</v>
      </c>
      <c r="G13" s="6">
        <f>SUMIFS(Operations[[Amount]:[Amount]],Operations[[Category]:[Category]],$A13,Operations[[Month]:[Month]],G$1)</f>
        <v>0</v>
      </c>
      <c r="H13" s="6">
        <f>SUMIFS(Operations[[Amount]:[Amount]],Operations[[Category]:[Category]],$A13,Operations[[Month]:[Month]],H$1)</f>
        <v>0</v>
      </c>
      <c r="I13" s="6">
        <f>SUMIFS(Operations[[Amount]:[Amount]],Operations[[Category]:[Category]],$A13,Operations[[Month]:[Month]],I$1)</f>
        <v>120</v>
      </c>
      <c r="J13" s="6">
        <f>SUMIFS(Operations[[Amount]:[Amount]],Operations[[Category]:[Category]],$A13,Operations[[Month]:[Month]],J$1)</f>
        <v>0</v>
      </c>
      <c r="K13" s="6">
        <f>SUMIFS(Operations[[Amount]:[Amount]],Operations[[Category]:[Category]],$A13,Operations[[Month]:[Month]],K$1)</f>
        <v>0</v>
      </c>
      <c r="L13" s="6">
        <f>SUMIFS(Operations[[Amount]:[Amount]],Operations[[Category]:[Category]],$A13,Operations[[Month]:[Month]],L$1)</f>
        <v>0</v>
      </c>
      <c r="M13" s="6">
        <f>SUMIFS(Operations[[Amount]:[Amount]],Operations[[Category]:[Category]],$A13,Operations[[Month]:[Month]],M$1)</f>
        <v>0</v>
      </c>
      <c r="N13" s="6">
        <f>SUMIFS(Operations[[Amount]:[Amount]],Operations[[Category]:[Category]],$A13,Operations[[Month]:[Month]],N$1)</f>
        <v>0</v>
      </c>
      <c r="O13" s="6">
        <f t="shared" si="0"/>
        <v>640.5</v>
      </c>
    </row>
    <row r="14" spans="1:15" outlineLevel="2" x14ac:dyDescent="0.25">
      <c r="A14" t="s">
        <v>29</v>
      </c>
      <c r="B14" t="s">
        <v>33</v>
      </c>
      <c r="C14" s="6">
        <f>SUMIFS(Operations[[Amount]:[Amount]],Operations[[Category]:[Category]],$A14,Operations[[Month]:[Month]],C$1)</f>
        <v>0</v>
      </c>
      <c r="D14" s="6">
        <f>SUMIFS(Operations[[Amount]:[Amount]],Operations[[Category]:[Category]],$A14,Operations[[Month]:[Month]],D$1)</f>
        <v>0</v>
      </c>
      <c r="E14" s="6">
        <f>SUMIFS(Operations[[Amount]:[Amount]],Operations[[Category]:[Category]],$A14,Operations[[Month]:[Month]],E$1)</f>
        <v>5</v>
      </c>
      <c r="F14" s="6">
        <f>SUMIFS(Operations[[Amount]:[Amount]],Operations[[Category]:[Category]],$A14,Operations[[Month]:[Month]],F$1)</f>
        <v>50</v>
      </c>
      <c r="G14" s="6">
        <f>SUMIFS(Operations[[Amount]:[Amount]],Operations[[Category]:[Category]],$A14,Operations[[Month]:[Month]],G$1)</f>
        <v>0</v>
      </c>
      <c r="H14" s="6">
        <f>SUMIFS(Operations[[Amount]:[Amount]],Operations[[Category]:[Category]],$A14,Operations[[Month]:[Month]],H$1)</f>
        <v>0</v>
      </c>
      <c r="I14" s="6">
        <f>SUMIFS(Operations[[Amount]:[Amount]],Operations[[Category]:[Category]],$A14,Operations[[Month]:[Month]],I$1)</f>
        <v>800</v>
      </c>
      <c r="J14" s="6">
        <f>SUMIFS(Operations[[Amount]:[Amount]],Operations[[Category]:[Category]],$A14,Operations[[Month]:[Month]],J$1)</f>
        <v>400</v>
      </c>
      <c r="K14" s="6">
        <f>SUMIFS(Operations[[Amount]:[Amount]],Operations[[Category]:[Category]],$A14,Operations[[Month]:[Month]],K$1)</f>
        <v>0</v>
      </c>
      <c r="L14" s="6">
        <f>SUMIFS(Operations[[Amount]:[Amount]],Operations[[Category]:[Category]],$A14,Operations[[Month]:[Month]],L$1)</f>
        <v>0</v>
      </c>
      <c r="M14" s="6">
        <f>SUMIFS(Operations[[Amount]:[Amount]],Operations[[Category]:[Category]],$A14,Operations[[Month]:[Month]],M$1)</f>
        <v>400</v>
      </c>
      <c r="N14" s="6">
        <f>SUMIFS(Operations[[Amount]:[Amount]],Operations[[Category]:[Category]],$A14,Operations[[Month]:[Month]],N$1)</f>
        <v>2000</v>
      </c>
      <c r="O14" s="6">
        <f t="shared" si="0"/>
        <v>3655</v>
      </c>
    </row>
    <row r="15" spans="1:15" outlineLevel="2" x14ac:dyDescent="0.25">
      <c r="A15" t="s">
        <v>30</v>
      </c>
      <c r="B15" t="s">
        <v>33</v>
      </c>
      <c r="C15" s="6">
        <f>SUMIFS(Operations[[Amount]:[Amount]],Operations[[Category]:[Category]],$A15,Operations[[Month]:[Month]],C$1)</f>
        <v>800</v>
      </c>
      <c r="D15" s="6">
        <f>SUMIFS(Operations[[Amount]:[Amount]],Operations[[Category]:[Category]],$A15,Operations[[Month]:[Month]],D$1)</f>
        <v>1950</v>
      </c>
      <c r="E15" s="6">
        <f>SUMIFS(Operations[[Amount]:[Amount]],Operations[[Category]:[Category]],$A15,Operations[[Month]:[Month]],E$1)</f>
        <v>0</v>
      </c>
      <c r="F15" s="6">
        <f>SUMIFS(Operations[[Amount]:[Amount]],Operations[[Category]:[Category]],$A15,Operations[[Month]:[Month]],F$1)</f>
        <v>0</v>
      </c>
      <c r="G15" s="6">
        <f>SUMIFS(Operations[[Amount]:[Amount]],Operations[[Category]:[Category]],$A15,Operations[[Month]:[Month]],G$1)</f>
        <v>0</v>
      </c>
      <c r="H15" s="6">
        <f>SUMIFS(Operations[[Amount]:[Amount]],Operations[[Category]:[Category]],$A15,Operations[[Month]:[Month]],H$1)</f>
        <v>0</v>
      </c>
      <c r="I15" s="6">
        <f>SUMIFS(Operations[[Amount]:[Amount]],Operations[[Category]:[Category]],$A15,Operations[[Month]:[Month]],I$1)</f>
        <v>0</v>
      </c>
      <c r="J15" s="6">
        <f>SUMIFS(Operations[[Amount]:[Amount]],Operations[[Category]:[Category]],$A15,Operations[[Month]:[Month]],J$1)</f>
        <v>0</v>
      </c>
      <c r="K15" s="6">
        <f>SUMIFS(Operations[[Amount]:[Amount]],Operations[[Category]:[Category]],$A15,Operations[[Month]:[Month]],K$1)</f>
        <v>0</v>
      </c>
      <c r="L15" s="6">
        <f>SUMIFS(Operations[[Amount]:[Amount]],Operations[[Category]:[Category]],$A15,Operations[[Month]:[Month]],L$1)</f>
        <v>0</v>
      </c>
      <c r="M15" s="6">
        <f>SUMIFS(Operations[[Amount]:[Amount]],Operations[[Category]:[Category]],$A15,Operations[[Month]:[Month]],M$1)</f>
        <v>0</v>
      </c>
      <c r="N15" s="6">
        <f>SUMIFS(Operations[[Amount]:[Amount]],Operations[[Category]:[Category]],$A15,Operations[[Month]:[Month]],N$1)</f>
        <v>0</v>
      </c>
      <c r="O15" s="6">
        <f t="shared" si="0"/>
        <v>2750</v>
      </c>
    </row>
    <row r="16" spans="1:15" outlineLevel="2" x14ac:dyDescent="0.25">
      <c r="A16" t="s">
        <v>26</v>
      </c>
      <c r="B16" t="s">
        <v>33</v>
      </c>
      <c r="C16" s="6">
        <f>SUMIFS(Operations[[Amount]:[Amount]],Operations[[Category]:[Category]],$A16,Operations[[Month]:[Month]],C$1)</f>
        <v>4500</v>
      </c>
      <c r="D16" s="6">
        <f>SUMIFS(Operations[[Amount]:[Amount]],Operations[[Category]:[Category]],$A16,Operations[[Month]:[Month]],D$1)</f>
        <v>4500</v>
      </c>
      <c r="E16" s="6">
        <f>SUMIFS(Operations[[Amount]:[Amount]],Operations[[Category]:[Category]],$A16,Operations[[Month]:[Month]],E$1)</f>
        <v>4500</v>
      </c>
      <c r="F16" s="6">
        <f>SUMIFS(Operations[[Amount]:[Amount]],Operations[[Category]:[Category]],$A16,Operations[[Month]:[Month]],F$1)</f>
        <v>4500</v>
      </c>
      <c r="G16" s="6">
        <f>SUMIFS(Operations[[Amount]:[Amount]],Operations[[Category]:[Category]],$A16,Operations[[Month]:[Month]],G$1)</f>
        <v>4500</v>
      </c>
      <c r="H16" s="6">
        <f>SUMIFS(Operations[[Amount]:[Amount]],Operations[[Category]:[Category]],$A16,Operations[[Month]:[Month]],H$1)</f>
        <v>4500</v>
      </c>
      <c r="I16" s="6">
        <f>SUMIFS(Operations[[Amount]:[Amount]],Operations[[Category]:[Category]],$A16,Operations[[Month]:[Month]],I$1)</f>
        <v>4500</v>
      </c>
      <c r="J16" s="6">
        <f>SUMIFS(Operations[[Amount]:[Amount]],Operations[[Category]:[Category]],$A16,Operations[[Month]:[Month]],J$1)</f>
        <v>4500</v>
      </c>
      <c r="K16" s="6">
        <f>SUMIFS(Operations[[Amount]:[Amount]],Operations[[Category]:[Category]],$A16,Operations[[Month]:[Month]],K$1)</f>
        <v>4500</v>
      </c>
      <c r="L16" s="6">
        <f>SUMIFS(Operations[[Amount]:[Amount]],Operations[[Category]:[Category]],$A16,Operations[[Month]:[Month]],L$1)</f>
        <v>4500</v>
      </c>
      <c r="M16" s="6">
        <f>SUMIFS(Operations[[Amount]:[Amount]],Operations[[Category]:[Category]],$A16,Operations[[Month]:[Month]],M$1)</f>
        <v>4500</v>
      </c>
      <c r="N16" s="6">
        <f>SUMIFS(Operations[[Amount]:[Amount]],Operations[[Category]:[Category]],$A16,Operations[[Month]:[Month]],N$1)</f>
        <v>4500</v>
      </c>
      <c r="O16" s="6">
        <f t="shared" si="0"/>
        <v>54000</v>
      </c>
    </row>
    <row r="17" spans="1:15" outlineLevel="2" x14ac:dyDescent="0.25">
      <c r="A17" t="s">
        <v>27</v>
      </c>
      <c r="B17" t="s">
        <v>33</v>
      </c>
      <c r="C17" s="6">
        <f>SUMIFS(Operations[[Amount]:[Amount]],Operations[[Category]:[Category]],$A17,Operations[[Month]:[Month]],C$1)</f>
        <v>0</v>
      </c>
      <c r="D17" s="6">
        <f>SUMIFS(Operations[[Amount]:[Amount]],Operations[[Category]:[Category]],$A17,Operations[[Month]:[Month]],D$1)</f>
        <v>0</v>
      </c>
      <c r="E17" s="6">
        <f>SUMIFS(Operations[[Amount]:[Amount]],Operations[[Category]:[Category]],$A17,Operations[[Month]:[Month]],E$1)</f>
        <v>0</v>
      </c>
      <c r="F17" s="6">
        <f>SUMIFS(Operations[[Amount]:[Amount]],Operations[[Category]:[Category]],$A17,Operations[[Month]:[Month]],F$1)</f>
        <v>0</v>
      </c>
      <c r="G17" s="6">
        <f>SUMIFS(Operations[[Amount]:[Amount]],Operations[[Category]:[Category]],$A17,Operations[[Month]:[Month]],G$1)</f>
        <v>0</v>
      </c>
      <c r="H17" s="6">
        <f>SUMIFS(Operations[[Amount]:[Amount]],Operations[[Category]:[Category]],$A17,Operations[[Month]:[Month]],H$1)</f>
        <v>0</v>
      </c>
      <c r="I17" s="6">
        <f>SUMIFS(Operations[[Amount]:[Amount]],Operations[[Category]:[Category]],$A17,Operations[[Month]:[Month]],I$1)</f>
        <v>500</v>
      </c>
      <c r="J17" s="6">
        <f>SUMIFS(Operations[[Amount]:[Amount]],Operations[[Category]:[Category]],$A17,Operations[[Month]:[Month]],J$1)</f>
        <v>500</v>
      </c>
      <c r="K17" s="6">
        <f>SUMIFS(Operations[[Amount]:[Amount]],Operations[[Category]:[Category]],$A17,Operations[[Month]:[Month]],K$1)</f>
        <v>0</v>
      </c>
      <c r="L17" s="6">
        <f>SUMIFS(Operations[[Amount]:[Amount]],Operations[[Category]:[Category]],$A17,Operations[[Month]:[Month]],L$1)</f>
        <v>0</v>
      </c>
      <c r="M17" s="6">
        <f>SUMIFS(Operations[[Amount]:[Amount]],Operations[[Category]:[Category]],$A17,Operations[[Month]:[Month]],M$1)</f>
        <v>0</v>
      </c>
      <c r="N17" s="6">
        <f>SUMIFS(Operations[[Amount]:[Amount]],Operations[[Category]:[Category]],$A17,Operations[[Month]:[Month]],N$1)</f>
        <v>0</v>
      </c>
      <c r="O17" s="6">
        <f t="shared" si="0"/>
        <v>1000</v>
      </c>
    </row>
    <row r="18" spans="1:15" outlineLevel="1" x14ac:dyDescent="0.25">
      <c r="B18" s="11" t="s">
        <v>52</v>
      </c>
      <c r="C18" s="6">
        <f t="shared" ref="C18:O18" si="2">SUBTOTAL(9,C12:C17)</f>
        <v>5655.5</v>
      </c>
      <c r="D18" s="6">
        <f t="shared" si="2"/>
        <v>6565</v>
      </c>
      <c r="E18" s="6">
        <f t="shared" si="2"/>
        <v>4655</v>
      </c>
      <c r="F18" s="6">
        <f t="shared" si="2"/>
        <v>4700</v>
      </c>
      <c r="G18" s="6">
        <f t="shared" si="2"/>
        <v>4500</v>
      </c>
      <c r="H18" s="6">
        <f t="shared" si="2"/>
        <v>4900</v>
      </c>
      <c r="I18" s="6">
        <f t="shared" si="2"/>
        <v>5920</v>
      </c>
      <c r="J18" s="6">
        <f t="shared" si="2"/>
        <v>5400</v>
      </c>
      <c r="K18" s="6">
        <f t="shared" si="2"/>
        <v>4500</v>
      </c>
      <c r="L18" s="6">
        <f t="shared" si="2"/>
        <v>4500</v>
      </c>
      <c r="M18" s="6">
        <f t="shared" si="2"/>
        <v>4900</v>
      </c>
      <c r="N18" s="6">
        <f t="shared" si="2"/>
        <v>6500</v>
      </c>
      <c r="O18" s="6">
        <f t="shared" si="2"/>
        <v>62695.5</v>
      </c>
    </row>
    <row r="19" spans="1:15" outlineLevel="2" x14ac:dyDescent="0.25">
      <c r="A19" t="s">
        <v>31</v>
      </c>
      <c r="B19" t="s">
        <v>34</v>
      </c>
      <c r="C19" s="6">
        <f>SUMIFS(Operations[[Amount]:[Amount]],Operations[[Category]:[Category]],$A19,Operations[[Month]:[Month]],C$1)</f>
        <v>0</v>
      </c>
      <c r="D19" s="6">
        <f>SUMIFS(Operations[[Amount]:[Amount]],Operations[[Category]:[Category]],$A19,Operations[[Month]:[Month]],D$1)</f>
        <v>0</v>
      </c>
      <c r="E19" s="6">
        <f>SUMIFS(Operations[[Amount]:[Amount]],Operations[[Category]:[Category]],$A19,Operations[[Month]:[Month]],E$1)</f>
        <v>0</v>
      </c>
      <c r="F19" s="6">
        <f>SUMIFS(Operations[[Amount]:[Amount]],Operations[[Category]:[Category]],$A19,Operations[[Month]:[Month]],F$1)</f>
        <v>0</v>
      </c>
      <c r="G19" s="6">
        <f>SUMIFS(Operations[[Amount]:[Amount]],Operations[[Category]:[Category]],$A19,Operations[[Month]:[Month]],G$1)</f>
        <v>0</v>
      </c>
      <c r="H19" s="6">
        <f>SUMIFS(Operations[[Amount]:[Amount]],Operations[[Category]:[Category]],$A19,Operations[[Month]:[Month]],H$1)</f>
        <v>0</v>
      </c>
      <c r="I19" s="6">
        <f>SUMIFS(Operations[[Amount]:[Amount]],Operations[[Category]:[Category]],$A19,Operations[[Month]:[Month]],I$1)</f>
        <v>0</v>
      </c>
      <c r="J19" s="6">
        <f>SUMIFS(Operations[[Amount]:[Amount]],Operations[[Category]:[Category]],$A19,Operations[[Month]:[Month]],J$1)</f>
        <v>-1020</v>
      </c>
      <c r="K19" s="6">
        <f>SUMIFS(Operations[[Amount]:[Amount]],Operations[[Category]:[Category]],$A19,Operations[[Month]:[Month]],K$1)</f>
        <v>0</v>
      </c>
      <c r="L19" s="6">
        <f>SUMIFS(Operations[[Amount]:[Amount]],Operations[[Category]:[Category]],$A19,Operations[[Month]:[Month]],L$1)</f>
        <v>0</v>
      </c>
      <c r="M19" s="6">
        <f>SUMIFS(Operations[[Amount]:[Amount]],Operations[[Category]:[Category]],$A19,Operations[[Month]:[Month]],M$1)</f>
        <v>0</v>
      </c>
      <c r="N19" s="6">
        <f>SUMIFS(Operations[[Amount]:[Amount]],Operations[[Category]:[Category]],$A19,Operations[[Month]:[Month]],N$1)</f>
        <v>0</v>
      </c>
      <c r="O19" s="6">
        <f t="shared" si="0"/>
        <v>-1020</v>
      </c>
    </row>
    <row r="20" spans="1:15" outlineLevel="1" x14ac:dyDescent="0.25">
      <c r="B20" s="11" t="s">
        <v>53</v>
      </c>
      <c r="C20" s="6">
        <f t="shared" ref="C20:O20" si="3">SUBTOTAL(9,C19:C19)</f>
        <v>0</v>
      </c>
      <c r="D20" s="6">
        <f t="shared" si="3"/>
        <v>0</v>
      </c>
      <c r="E20" s="6">
        <f t="shared" si="3"/>
        <v>0</v>
      </c>
      <c r="F20" s="6">
        <f t="shared" si="3"/>
        <v>0</v>
      </c>
      <c r="G20" s="6">
        <f t="shared" si="3"/>
        <v>0</v>
      </c>
      <c r="H20" s="6">
        <f t="shared" si="3"/>
        <v>0</v>
      </c>
      <c r="I20" s="6">
        <f t="shared" si="3"/>
        <v>0</v>
      </c>
      <c r="J20" s="6">
        <f t="shared" si="3"/>
        <v>-1020</v>
      </c>
      <c r="K20" s="6">
        <f t="shared" si="3"/>
        <v>0</v>
      </c>
      <c r="L20" s="6">
        <f t="shared" si="3"/>
        <v>0</v>
      </c>
      <c r="M20" s="6">
        <f t="shared" si="3"/>
        <v>0</v>
      </c>
      <c r="N20" s="6">
        <f t="shared" si="3"/>
        <v>0</v>
      </c>
      <c r="O20" s="6">
        <f t="shared" si="3"/>
        <v>-1020</v>
      </c>
    </row>
    <row r="21" spans="1:15" outlineLevel="1" x14ac:dyDescent="0.25">
      <c r="A21" t="s">
        <v>38</v>
      </c>
      <c r="C21" s="6">
        <f>SUM(C2:C19)</f>
        <v>1691</v>
      </c>
      <c r="D21" s="6">
        <f t="shared" ref="D21:N21" si="4">SUM(D2:D19)</f>
        <v>4929</v>
      </c>
      <c r="E21" s="6">
        <f t="shared" si="4"/>
        <v>1511.2199999999993</v>
      </c>
      <c r="F21" s="6">
        <f t="shared" si="4"/>
        <v>1453.6800000000003</v>
      </c>
      <c r="G21" s="6">
        <f t="shared" si="4"/>
        <v>2580</v>
      </c>
      <c r="H21" s="6">
        <f t="shared" si="4"/>
        <v>2340</v>
      </c>
      <c r="I21" s="6">
        <f t="shared" si="4"/>
        <v>5830</v>
      </c>
      <c r="J21" s="6">
        <f t="shared" si="4"/>
        <v>1801</v>
      </c>
      <c r="K21" s="6">
        <f t="shared" si="4"/>
        <v>3503</v>
      </c>
      <c r="L21" s="6">
        <f t="shared" si="4"/>
        <v>3340</v>
      </c>
      <c r="M21" s="6">
        <f t="shared" si="4"/>
        <v>2800</v>
      </c>
      <c r="N21" s="6">
        <f t="shared" si="4"/>
        <v>4840</v>
      </c>
      <c r="O21" s="6">
        <f t="shared" si="0"/>
        <v>36618.9</v>
      </c>
    </row>
    <row r="22" spans="1:15" outlineLevel="1" x14ac:dyDescent="0.25">
      <c r="B22" s="11" t="s">
        <v>54</v>
      </c>
      <c r="C22" s="6">
        <f t="shared" ref="C22:O22" si="5">SUBTOTAL(9,C2:C21)</f>
        <v>2536.5</v>
      </c>
      <c r="D22" s="6">
        <f t="shared" si="5"/>
        <v>7393.5</v>
      </c>
      <c r="E22" s="6">
        <f t="shared" si="5"/>
        <v>2266.829999999999</v>
      </c>
      <c r="F22" s="6">
        <f t="shared" si="5"/>
        <v>2180.5200000000004</v>
      </c>
      <c r="G22" s="6">
        <f t="shared" si="5"/>
        <v>3870</v>
      </c>
      <c r="H22" s="6">
        <f t="shared" si="5"/>
        <v>3510</v>
      </c>
      <c r="I22" s="6">
        <f t="shared" si="5"/>
        <v>8745</v>
      </c>
      <c r="J22" s="6">
        <f t="shared" si="5"/>
        <v>2191.5</v>
      </c>
      <c r="K22" s="6">
        <f t="shared" si="5"/>
        <v>5254.5</v>
      </c>
      <c r="L22" s="6">
        <f t="shared" si="5"/>
        <v>5010</v>
      </c>
      <c r="M22" s="6">
        <f t="shared" si="5"/>
        <v>4200</v>
      </c>
      <c r="N22" s="6">
        <f t="shared" si="5"/>
        <v>7260</v>
      </c>
      <c r="O22" s="6">
        <f t="shared" si="5"/>
        <v>54418.35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49F6-5D35-4CD3-8171-D2907EDEB23F}">
  <dimension ref="A3:N24"/>
  <sheetViews>
    <sheetView workbookViewId="0">
      <selection activeCell="I22" sqref="I22"/>
    </sheetView>
  </sheetViews>
  <sheetFormatPr defaultRowHeight="15" x14ac:dyDescent="0.25"/>
  <cols>
    <col min="1" max="1" width="18.85546875" bestFit="1" customWidth="1"/>
    <col min="2" max="2" width="16.28515625" bestFit="1" customWidth="1"/>
    <col min="3" max="13" width="10.7109375" bestFit="1" customWidth="1"/>
    <col min="14" max="14" width="11.7109375" bestFit="1" customWidth="1"/>
  </cols>
  <sheetData>
    <row r="3" spans="1:14" x14ac:dyDescent="0.25">
      <c r="A3" s="12" t="s">
        <v>57</v>
      </c>
      <c r="B3" s="12" t="s">
        <v>56</v>
      </c>
    </row>
    <row r="4" spans="1:14" x14ac:dyDescent="0.25">
      <c r="A4" s="12" t="s">
        <v>55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54</v>
      </c>
    </row>
    <row r="5" spans="1:14" x14ac:dyDescent="0.25">
      <c r="A5" s="13" t="s">
        <v>32</v>
      </c>
      <c r="B5" s="14">
        <v>-4810</v>
      </c>
      <c r="C5" s="14">
        <v>-4100.5</v>
      </c>
      <c r="D5" s="14">
        <v>-3899.3900000000003</v>
      </c>
      <c r="E5" s="14">
        <v>-3973.16</v>
      </c>
      <c r="F5" s="14">
        <v>-3210</v>
      </c>
      <c r="G5" s="14">
        <v>-3730</v>
      </c>
      <c r="H5" s="14">
        <v>-3005</v>
      </c>
      <c r="I5" s="14">
        <v>-3989.5</v>
      </c>
      <c r="J5" s="14">
        <v>-2748.5</v>
      </c>
      <c r="K5" s="14">
        <v>-2830</v>
      </c>
      <c r="L5" s="14">
        <v>-3500</v>
      </c>
      <c r="M5" s="14">
        <v>-4080</v>
      </c>
      <c r="N5" s="14">
        <v>-43876.05</v>
      </c>
    </row>
    <row r="6" spans="1:14" x14ac:dyDescent="0.25">
      <c r="A6" s="15" t="s">
        <v>18</v>
      </c>
      <c r="B6" s="14">
        <v>-2000</v>
      </c>
      <c r="C6" s="14">
        <v>-2000</v>
      </c>
      <c r="D6" s="14">
        <v>-2000</v>
      </c>
      <c r="E6" s="14">
        <v>-2000</v>
      </c>
      <c r="F6" s="14">
        <v>-2000</v>
      </c>
      <c r="G6" s="14">
        <v>-2000</v>
      </c>
      <c r="H6" s="14">
        <v>-2000</v>
      </c>
      <c r="I6" s="14">
        <v>-2000</v>
      </c>
      <c r="J6" s="14">
        <v>-2000</v>
      </c>
      <c r="K6" s="14">
        <v>-2000</v>
      </c>
      <c r="L6" s="14">
        <v>-2000</v>
      </c>
      <c r="M6" s="14">
        <v>-2000</v>
      </c>
      <c r="N6" s="14">
        <v>-24000</v>
      </c>
    </row>
    <row r="7" spans="1:14" x14ac:dyDescent="0.25">
      <c r="A7" s="15" t="s">
        <v>22</v>
      </c>
      <c r="B7" s="14">
        <v>-80</v>
      </c>
      <c r="C7" s="14"/>
      <c r="D7" s="14">
        <v>-469.9</v>
      </c>
      <c r="E7" s="14">
        <v>-149</v>
      </c>
      <c r="F7" s="14"/>
      <c r="G7" s="14">
        <v>-300</v>
      </c>
      <c r="H7" s="14">
        <v>250</v>
      </c>
      <c r="I7" s="14">
        <v>-300</v>
      </c>
      <c r="J7" s="14"/>
      <c r="K7" s="14"/>
      <c r="L7" s="14">
        <v>-158</v>
      </c>
      <c r="M7" s="14">
        <v>-120</v>
      </c>
      <c r="N7" s="14">
        <v>-1326.9</v>
      </c>
    </row>
    <row r="8" spans="1:14" x14ac:dyDescent="0.25">
      <c r="A8" s="15" t="s">
        <v>20</v>
      </c>
      <c r="B8" s="14">
        <v>-85</v>
      </c>
      <c r="C8" s="14">
        <v>-350</v>
      </c>
      <c r="D8" s="14">
        <v>-200</v>
      </c>
      <c r="E8" s="14">
        <v>-1057.9000000000001</v>
      </c>
      <c r="F8" s="14">
        <v>-80</v>
      </c>
      <c r="G8" s="14">
        <v>-200</v>
      </c>
      <c r="H8" s="14">
        <v>-700</v>
      </c>
      <c r="I8" s="14">
        <v>-250</v>
      </c>
      <c r="J8" s="14">
        <v>-20</v>
      </c>
      <c r="K8" s="14">
        <v>-40</v>
      </c>
      <c r="L8" s="14">
        <v>-214</v>
      </c>
      <c r="M8" s="14">
        <v>-450</v>
      </c>
      <c r="N8" s="14">
        <v>-3646.9</v>
      </c>
    </row>
    <row r="9" spans="1:14" x14ac:dyDescent="0.25">
      <c r="A9" s="15" t="s">
        <v>17</v>
      </c>
      <c r="B9" s="14">
        <v>-1715</v>
      </c>
      <c r="C9" s="14">
        <v>-405.5</v>
      </c>
      <c r="D9" s="14">
        <v>-734.99</v>
      </c>
      <c r="E9" s="14">
        <v>-372.26</v>
      </c>
      <c r="F9" s="14">
        <v>-1000</v>
      </c>
      <c r="G9" s="14">
        <v>-1000</v>
      </c>
      <c r="H9" s="14">
        <v>-165</v>
      </c>
      <c r="I9" s="14">
        <v>-749.5</v>
      </c>
      <c r="J9" s="14">
        <v>-538.5</v>
      </c>
      <c r="K9" s="14">
        <v>-600</v>
      </c>
      <c r="L9" s="14">
        <v>-506</v>
      </c>
      <c r="M9" s="14">
        <v>-700</v>
      </c>
      <c r="N9" s="14">
        <v>-8486.75</v>
      </c>
    </row>
    <row r="10" spans="1:14" x14ac:dyDescent="0.25">
      <c r="A10" s="15" t="s">
        <v>21</v>
      </c>
      <c r="B10" s="14">
        <v>-100</v>
      </c>
      <c r="C10" s="14">
        <v>-250</v>
      </c>
      <c r="D10" s="14">
        <v>-9.5</v>
      </c>
      <c r="E10" s="14">
        <v>-23.5</v>
      </c>
      <c r="F10" s="14"/>
      <c r="G10" s="14">
        <v>-100</v>
      </c>
      <c r="H10" s="14">
        <v>-300</v>
      </c>
      <c r="I10" s="14">
        <v>-400</v>
      </c>
      <c r="J10" s="14"/>
      <c r="K10" s="14"/>
      <c r="L10" s="14">
        <v>-133</v>
      </c>
      <c r="M10" s="14">
        <v>-10</v>
      </c>
      <c r="N10" s="14">
        <v>-1326</v>
      </c>
    </row>
    <row r="11" spans="1:14" x14ac:dyDescent="0.25">
      <c r="A11" s="15" t="s">
        <v>19</v>
      </c>
      <c r="B11" s="14">
        <v>-150</v>
      </c>
      <c r="C11" s="14">
        <v>-150</v>
      </c>
      <c r="D11" s="14">
        <v>-23</v>
      </c>
      <c r="E11" s="14">
        <v>-49</v>
      </c>
      <c r="F11" s="14">
        <v>-50</v>
      </c>
      <c r="G11" s="14">
        <v>-50</v>
      </c>
      <c r="H11" s="14"/>
      <c r="I11" s="14"/>
      <c r="J11" s="14">
        <v>-40</v>
      </c>
      <c r="K11" s="14">
        <v>-40</v>
      </c>
      <c r="L11" s="14">
        <v>-47</v>
      </c>
      <c r="M11" s="14"/>
      <c r="N11" s="14">
        <v>-599</v>
      </c>
    </row>
    <row r="12" spans="1:14" x14ac:dyDescent="0.25">
      <c r="A12" s="15" t="s">
        <v>24</v>
      </c>
      <c r="B12" s="14">
        <v>-500</v>
      </c>
      <c r="C12" s="14">
        <v>-765</v>
      </c>
      <c r="D12" s="14">
        <v>-300</v>
      </c>
      <c r="E12" s="14">
        <v>-100</v>
      </c>
      <c r="F12" s="14"/>
      <c r="G12" s="14"/>
      <c r="H12" s="14"/>
      <c r="I12" s="14"/>
      <c r="J12" s="14"/>
      <c r="K12" s="14"/>
      <c r="L12" s="14">
        <v>-234</v>
      </c>
      <c r="M12" s="14">
        <v>-700</v>
      </c>
      <c r="N12" s="14">
        <v>-2599</v>
      </c>
    </row>
    <row r="13" spans="1:14" x14ac:dyDescent="0.25">
      <c r="A13" s="15" t="s">
        <v>23</v>
      </c>
      <c r="B13" s="14">
        <v>-100</v>
      </c>
      <c r="C13" s="14">
        <v>-100</v>
      </c>
      <c r="D13" s="14">
        <v>-79.5</v>
      </c>
      <c r="E13" s="14">
        <v>-139</v>
      </c>
      <c r="F13" s="14"/>
      <c r="G13" s="14"/>
      <c r="H13" s="14"/>
      <c r="I13" s="14"/>
      <c r="J13" s="14"/>
      <c r="K13" s="14"/>
      <c r="L13" s="14"/>
      <c r="M13" s="14">
        <v>-100</v>
      </c>
      <c r="N13" s="14">
        <v>-518.5</v>
      </c>
    </row>
    <row r="14" spans="1:14" x14ac:dyDescent="0.25">
      <c r="A14" s="15" t="s">
        <v>16</v>
      </c>
      <c r="B14" s="14">
        <v>-80</v>
      </c>
      <c r="C14" s="14">
        <v>-80</v>
      </c>
      <c r="D14" s="14">
        <v>-82.5</v>
      </c>
      <c r="E14" s="14">
        <v>-82.5</v>
      </c>
      <c r="F14" s="14">
        <v>-80</v>
      </c>
      <c r="G14" s="14">
        <v>-80</v>
      </c>
      <c r="H14" s="14">
        <v>-90</v>
      </c>
      <c r="I14" s="14">
        <v>-290</v>
      </c>
      <c r="J14" s="14">
        <v>-150</v>
      </c>
      <c r="K14" s="14">
        <v>-150</v>
      </c>
      <c r="L14" s="14">
        <v>-208</v>
      </c>
      <c r="M14" s="14"/>
      <c r="N14" s="14">
        <v>-1373</v>
      </c>
    </row>
    <row r="15" spans="1:14" x14ac:dyDescent="0.25">
      <c r="A15" s="13" t="s">
        <v>33</v>
      </c>
      <c r="B15" s="14">
        <v>5655.5</v>
      </c>
      <c r="C15" s="14">
        <v>6565</v>
      </c>
      <c r="D15" s="14">
        <v>4655</v>
      </c>
      <c r="E15" s="14">
        <v>4700</v>
      </c>
      <c r="F15" s="14">
        <v>4500</v>
      </c>
      <c r="G15" s="14">
        <v>4900</v>
      </c>
      <c r="H15" s="14">
        <v>5920</v>
      </c>
      <c r="I15" s="14">
        <v>5400</v>
      </c>
      <c r="J15" s="14">
        <v>4500</v>
      </c>
      <c r="K15" s="14">
        <v>4500</v>
      </c>
      <c r="L15" s="14">
        <v>4900</v>
      </c>
      <c r="M15" s="14">
        <v>6500</v>
      </c>
      <c r="N15" s="14">
        <v>62695.5</v>
      </c>
    </row>
    <row r="16" spans="1:14" x14ac:dyDescent="0.25">
      <c r="A16" s="15" t="s">
        <v>25</v>
      </c>
      <c r="B16" s="14">
        <v>250</v>
      </c>
      <c r="C16" s="14"/>
      <c r="D16" s="14"/>
      <c r="E16" s="14"/>
      <c r="F16" s="14"/>
      <c r="G16" s="14">
        <v>400</v>
      </c>
      <c r="H16" s="14"/>
      <c r="I16" s="14"/>
      <c r="J16" s="14"/>
      <c r="K16" s="14"/>
      <c r="L16" s="14"/>
      <c r="M16" s="14"/>
      <c r="N16" s="14">
        <v>650</v>
      </c>
    </row>
    <row r="17" spans="1:14" x14ac:dyDescent="0.25">
      <c r="A17" s="15" t="s">
        <v>28</v>
      </c>
      <c r="B17" s="14">
        <v>105.5</v>
      </c>
      <c r="C17" s="14">
        <v>115</v>
      </c>
      <c r="D17" s="14">
        <v>150</v>
      </c>
      <c r="E17" s="14">
        <v>150</v>
      </c>
      <c r="F17" s="14"/>
      <c r="G17" s="14"/>
      <c r="H17" s="14">
        <v>120</v>
      </c>
      <c r="I17" s="14"/>
      <c r="J17" s="14"/>
      <c r="K17" s="14"/>
      <c r="L17" s="14"/>
      <c r="M17" s="14"/>
      <c r="N17" s="14">
        <v>640.5</v>
      </c>
    </row>
    <row r="18" spans="1:14" x14ac:dyDescent="0.25">
      <c r="A18" s="15" t="s">
        <v>29</v>
      </c>
      <c r="B18" s="14"/>
      <c r="C18" s="14"/>
      <c r="D18" s="14">
        <v>5</v>
      </c>
      <c r="E18" s="14">
        <v>50</v>
      </c>
      <c r="F18" s="14"/>
      <c r="G18" s="14"/>
      <c r="H18" s="14">
        <v>800</v>
      </c>
      <c r="I18" s="14">
        <v>400</v>
      </c>
      <c r="J18" s="14"/>
      <c r="K18" s="14"/>
      <c r="L18" s="14">
        <v>400</v>
      </c>
      <c r="M18" s="14">
        <v>2000</v>
      </c>
      <c r="N18" s="14">
        <v>3655</v>
      </c>
    </row>
    <row r="19" spans="1:14" x14ac:dyDescent="0.25">
      <c r="A19" s="15" t="s">
        <v>30</v>
      </c>
      <c r="B19" s="14">
        <v>800</v>
      </c>
      <c r="C19" s="14">
        <v>1950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>
        <v>2750</v>
      </c>
    </row>
    <row r="20" spans="1:14" x14ac:dyDescent="0.25">
      <c r="A20" s="15" t="s">
        <v>26</v>
      </c>
      <c r="B20" s="14">
        <v>4500</v>
      </c>
      <c r="C20" s="14">
        <v>4500</v>
      </c>
      <c r="D20" s="14">
        <v>4500</v>
      </c>
      <c r="E20" s="14">
        <v>4500</v>
      </c>
      <c r="F20" s="14">
        <v>4500</v>
      </c>
      <c r="G20" s="14">
        <v>4500</v>
      </c>
      <c r="H20" s="14">
        <v>4500</v>
      </c>
      <c r="I20" s="14">
        <v>4500</v>
      </c>
      <c r="J20" s="14">
        <v>4500</v>
      </c>
      <c r="K20" s="14">
        <v>4500</v>
      </c>
      <c r="L20" s="14">
        <v>4500</v>
      </c>
      <c r="M20" s="14">
        <v>4500</v>
      </c>
      <c r="N20" s="14">
        <v>54000</v>
      </c>
    </row>
    <row r="21" spans="1:14" x14ac:dyDescent="0.25">
      <c r="A21" s="15" t="s">
        <v>27</v>
      </c>
      <c r="B21" s="14"/>
      <c r="C21" s="14"/>
      <c r="D21" s="14"/>
      <c r="E21" s="14"/>
      <c r="F21" s="14"/>
      <c r="G21" s="14"/>
      <c r="H21" s="14">
        <v>500</v>
      </c>
      <c r="I21" s="14">
        <v>500</v>
      </c>
      <c r="J21" s="14"/>
      <c r="K21" s="14"/>
      <c r="L21" s="14"/>
      <c r="M21" s="14"/>
      <c r="N21" s="14">
        <v>1000</v>
      </c>
    </row>
    <row r="22" spans="1:14" x14ac:dyDescent="0.25">
      <c r="A22" s="13" t="s">
        <v>34</v>
      </c>
      <c r="B22" s="14"/>
      <c r="C22" s="14">
        <v>0</v>
      </c>
      <c r="D22" s="14"/>
      <c r="E22" s="14">
        <v>0</v>
      </c>
      <c r="F22" s="14">
        <v>0</v>
      </c>
      <c r="G22" s="14">
        <v>0</v>
      </c>
      <c r="H22" s="14">
        <v>0</v>
      </c>
      <c r="I22" s="14">
        <v>-1020</v>
      </c>
      <c r="J22" s="14">
        <v>0</v>
      </c>
      <c r="K22" s="14">
        <v>0</v>
      </c>
      <c r="L22" s="14">
        <v>0</v>
      </c>
      <c r="M22" s="14"/>
      <c r="N22" s="14">
        <v>-1020</v>
      </c>
    </row>
    <row r="23" spans="1:14" x14ac:dyDescent="0.25">
      <c r="A23" s="15" t="s">
        <v>31</v>
      </c>
      <c r="B23" s="14"/>
      <c r="C23" s="14">
        <v>0</v>
      </c>
      <c r="D23" s="14"/>
      <c r="E23" s="14">
        <v>0</v>
      </c>
      <c r="F23" s="14">
        <v>0</v>
      </c>
      <c r="G23" s="14">
        <v>0</v>
      </c>
      <c r="H23" s="14">
        <v>0</v>
      </c>
      <c r="I23" s="14">
        <v>-1020</v>
      </c>
      <c r="J23" s="14">
        <v>0</v>
      </c>
      <c r="K23" s="14">
        <v>0</v>
      </c>
      <c r="L23" s="14">
        <v>0</v>
      </c>
      <c r="M23" s="14"/>
      <c r="N23" s="14">
        <v>-1020</v>
      </c>
    </row>
    <row r="24" spans="1:14" x14ac:dyDescent="0.25">
      <c r="A24" s="13" t="s">
        <v>54</v>
      </c>
      <c r="B24" s="14">
        <v>845.5</v>
      </c>
      <c r="C24" s="14">
        <v>2464.5</v>
      </c>
      <c r="D24" s="14">
        <v>755.60999999999967</v>
      </c>
      <c r="E24" s="14">
        <v>726.84000000000015</v>
      </c>
      <c r="F24" s="14">
        <v>1290</v>
      </c>
      <c r="G24" s="14">
        <v>1170</v>
      </c>
      <c r="H24" s="14">
        <v>2915</v>
      </c>
      <c r="I24" s="14">
        <v>390.5</v>
      </c>
      <c r="J24" s="14">
        <v>1751.5</v>
      </c>
      <c r="K24" s="14">
        <v>1670</v>
      </c>
      <c r="L24" s="14">
        <v>1400</v>
      </c>
      <c r="M24" s="14">
        <v>2420</v>
      </c>
      <c r="N24" s="14">
        <v>17799.449999999997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9B1B5-5F98-4F55-B062-7B3020D9074B}">
  <dimension ref="A1:K17"/>
  <sheetViews>
    <sheetView tabSelected="1" topLeftCell="B1" zoomScale="140" zoomScaleNormal="140" workbookViewId="0">
      <selection activeCell="E11" sqref="E11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v>100</v>
      </c>
      <c r="D2" s="6">
        <f ca="1">SUMIFS(Operations[Amount],Operations[Bank],Flow_1[[#This Row],[Bank]],Operations[Product],Flow_1[[#This Row],[Product]],Operations[Month],$B$11)</f>
        <v>-35</v>
      </c>
      <c r="E2" s="6">
        <f ca="1">Flow_1[[#This Row],[Opening balance]]+Flow_1[[#This Row],[Operations]]</f>
        <v>65</v>
      </c>
      <c r="G2" t="s">
        <v>25</v>
      </c>
      <c r="H2" s="6">
        <f ca="1">SUMIFS(Operations[Amount],Operations[Month],$B$11,Operations[Category],Incomes_1[[#This Row],[Category]])</f>
        <v>250</v>
      </c>
      <c r="J2" t="s">
        <v>18</v>
      </c>
      <c r="K2" s="6">
        <f ca="1">SUMIFS(Operations[Amount],Operations[Month],$B$11,Operations[Category],Expenses_1[[#This Row],[Category]])</f>
        <v>-2000</v>
      </c>
    </row>
    <row r="3" spans="1:11" x14ac:dyDescent="0.25">
      <c r="A3" t="s">
        <v>11</v>
      </c>
      <c r="B3" t="s">
        <v>12</v>
      </c>
      <c r="C3" s="6">
        <v>10.5</v>
      </c>
      <c r="D3" s="6">
        <f ca="1">SUMIFS(Operations[Amount],Operations[Bank],Flow_1[[#This Row],[Bank]],Operations[Product],Flow_1[[#This Row],[Product]],Operations[Month],$B$11)</f>
        <v>255.5</v>
      </c>
      <c r="E3" s="6">
        <f ca="1">Flow_1[[#This Row],[Opening balance]]+Flow_1[[#This Row],[Operations]]</f>
        <v>266</v>
      </c>
      <c r="G3" t="s">
        <v>28</v>
      </c>
      <c r="H3" s="6">
        <f ca="1">SUMIFS(Operations[Amount],Operations[Month],$B$11,Operations[Category],Incomes_1[[#This Row],[Category]])</f>
        <v>105.5</v>
      </c>
      <c r="J3" t="s">
        <v>22</v>
      </c>
      <c r="K3" s="6">
        <f ca="1">SUMIFS(Operations[Amount],Operations[Month],$B$11,Operations[Category],Expenses_1[[#This Row],[Category]])</f>
        <v>-80</v>
      </c>
    </row>
    <row r="4" spans="1:11" x14ac:dyDescent="0.25">
      <c r="A4" t="s">
        <v>7</v>
      </c>
      <c r="B4" t="s">
        <v>8</v>
      </c>
      <c r="C4" s="6">
        <v>600</v>
      </c>
      <c r="D4" s="6">
        <f ca="1">SUMIFS(Operations[Amount],Operations[Bank],Flow_1[[#This Row],[Bank]],Operations[Product],Flow_1[[#This Row],[Product]],Operations[Month],$B$11)</f>
        <v>1100</v>
      </c>
      <c r="E4" s="6">
        <f ca="1">Flow_1[[#This Row],[Opening balance]]+Flow_1[[#This Row],[Operations]]</f>
        <v>1700</v>
      </c>
      <c r="G4" t="s">
        <v>29</v>
      </c>
      <c r="H4" s="6">
        <f ca="1">SUMIFS(Operations[Amount],Operations[Month],$B$11,Operations[Category],Incomes_1[[#This Row],[Category]])</f>
        <v>0</v>
      </c>
      <c r="J4" t="s">
        <v>20</v>
      </c>
      <c r="K4" s="6">
        <f ca="1">SUMIFS(Operations[Amount],Operations[Month],$B$11,Operations[Category],Expenses_1[[#This Row],[Category]])</f>
        <v>-85</v>
      </c>
    </row>
    <row r="5" spans="1:11" x14ac:dyDescent="0.25">
      <c r="A5" t="s">
        <v>7</v>
      </c>
      <c r="B5" t="s">
        <v>9</v>
      </c>
      <c r="C5" s="6">
        <v>0</v>
      </c>
      <c r="D5" s="6">
        <f ca="1">SUMIFS(Operations[Amount],Operations[Bank],Flow_1[[#This Row],[Bank]],Operations[Product],Flow_1[[#This Row],[Product]],Operations[Month],$B$11)</f>
        <v>-175</v>
      </c>
      <c r="E5" s="6">
        <f ca="1">Flow_1[[#This Row],[Opening balance]]+Flow_1[[#This Row],[Operations]]</f>
        <v>-175</v>
      </c>
      <c r="G5" t="s">
        <v>30</v>
      </c>
      <c r="H5" s="6">
        <f ca="1">SUMIFS(Operations[Amount],Operations[Month],$B$11,Operations[Category],Incomes_1[[#This Row],[Category]])</f>
        <v>800</v>
      </c>
      <c r="J5" t="s">
        <v>17</v>
      </c>
      <c r="K5" s="6">
        <f ca="1">SUMIFS(Operations[Amount],Operations[Month],$B$11,Operations[Category],Expenses_1[[#This Row],[Category]])</f>
        <v>-1715</v>
      </c>
    </row>
    <row r="6" spans="1:11" x14ac:dyDescent="0.25">
      <c r="A6" t="s">
        <v>7</v>
      </c>
      <c r="B6" t="s">
        <v>10</v>
      </c>
      <c r="C6" s="6">
        <v>2000</v>
      </c>
      <c r="D6" s="6">
        <f ca="1">SUMIFS(Operations[Amount],Operations[Bank],Flow_1[[#This Row],[Bank]],Operations[Product],Flow_1[[#This Row],[Product]],Operations[Month],$B$11)</f>
        <v>-400</v>
      </c>
      <c r="E6" s="6">
        <f ca="1">Flow_1[[#This Row],[Opening balance]]+Flow_1[[#This Row],[Operations]]</f>
        <v>1600</v>
      </c>
      <c r="G6" t="s">
        <v>26</v>
      </c>
      <c r="H6" s="6">
        <f ca="1">SUMIFS(Operations[Amount],Operations[Month],$B$11,Operations[Category],Incomes_1[[#This Row],[Category]])</f>
        <v>4500</v>
      </c>
      <c r="J6" t="s">
        <v>21</v>
      </c>
      <c r="K6" s="6">
        <f ca="1">SUMIFS(Operations[Amount],Operations[Month],$B$11,Operations[Category],Expenses_1[[#This Row],[Category]])</f>
        <v>-100</v>
      </c>
    </row>
    <row r="7" spans="1:11" x14ac:dyDescent="0.25">
      <c r="A7" t="s">
        <v>13</v>
      </c>
      <c r="B7" t="s">
        <v>15</v>
      </c>
      <c r="C7" s="6">
        <v>200</v>
      </c>
      <c r="D7" s="6">
        <f ca="1">SUMIFS(Operations[Amount],Operations[Bank],Flow_1[[#This Row],[Bank]],Operations[Product],Flow_1[[#This Row],[Product]],Operations[Month],$B$11)</f>
        <v>-50</v>
      </c>
      <c r="E7" s="6">
        <f ca="1">Flow_1[[#This Row],[Opening balance]]+Flow_1[[#This Row],[Operations]]</f>
        <v>150</v>
      </c>
      <c r="G7" t="s">
        <v>27</v>
      </c>
      <c r="H7" s="6">
        <f ca="1">SUMIFS(Operations[Amount],Operations[Month],$B$11,Operations[Category],Incomes_1[[#This Row],[Category]])</f>
        <v>0</v>
      </c>
      <c r="J7" t="s">
        <v>19</v>
      </c>
      <c r="K7" s="6">
        <f ca="1">SUMIFS(Operations[Amount],Operations[Month],$B$11,Operations[Category],Expenses_1[[#This Row],[Category]])</f>
        <v>-150</v>
      </c>
    </row>
    <row r="8" spans="1:11" x14ac:dyDescent="0.25">
      <c r="A8" t="s">
        <v>13</v>
      </c>
      <c r="B8" t="s">
        <v>14</v>
      </c>
      <c r="C8" s="6">
        <v>30</v>
      </c>
      <c r="D8" s="6">
        <f ca="1">SUMIFS(Operations[Amount],Operations[Bank],Flow_1[[#This Row],[Bank]],Operations[Product],Flow_1[[#This Row],[Product]],Operations[Month],$B$11)</f>
        <v>150</v>
      </c>
      <c r="E8" s="6">
        <f ca="1">Flow_1[[#This Row],[Opening balance]]+Flow_1[[#This Row],[Operations]]</f>
        <v>180</v>
      </c>
      <c r="G8" t="s">
        <v>38</v>
      </c>
      <c r="H8" s="6">
        <f ca="1">SUBTOTAL(109,Incomes_1[Total])</f>
        <v>5655.5</v>
      </c>
      <c r="J8" t="s">
        <v>24</v>
      </c>
      <c r="K8" s="6">
        <f ca="1">SUMIFS(Operations[Amount],Operations[Month],$B$11,Operations[Category],Expenses_1[[#This Row],[Category]])</f>
        <v>-500</v>
      </c>
    </row>
    <row r="9" spans="1:11" x14ac:dyDescent="0.25">
      <c r="A9" t="s">
        <v>38</v>
      </c>
      <c r="C9" s="6">
        <f>SUBTOTAL(109,Flow_1[Opening balance])</f>
        <v>2940.5</v>
      </c>
      <c r="D9" s="6">
        <f ca="1">SUBTOTAL(109,Flow_1[Operations])</f>
        <v>845.5</v>
      </c>
      <c r="E9" s="6">
        <f ca="1">SUBTOTAL(109,Flow_1[Closing balance])</f>
        <v>3786</v>
      </c>
      <c r="J9" t="s">
        <v>23</v>
      </c>
      <c r="K9" s="6">
        <f ca="1">SUMIFS(Operations[Amount],Operations[Month],$B$11,Operations[Category],Expenses_1[[#This Row],[Category]])</f>
        <v>-100</v>
      </c>
    </row>
    <row r="10" spans="1:11" x14ac:dyDescent="0.25">
      <c r="J10" t="s">
        <v>16</v>
      </c>
      <c r="K10" s="6">
        <f ca="1">SUMIFS(Operations[Amount],Operations[Month],$B$11,Operations[Category],Expenses_1[[#This Row],[Category]])</f>
        <v>-80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1</v>
      </c>
      <c r="J11" t="s">
        <v>38</v>
      </c>
      <c r="K11" s="6">
        <f ca="1">SUBTOTAL(109,Expenses_1[Total])</f>
        <v>-4810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SUMIFS(Operations[Amount],Operations[Month],$B$11,Operations[Type],Balance_1[[#This Row],[Type]])</f>
        <v>-4810</v>
      </c>
    </row>
    <row r="15" spans="1:11" x14ac:dyDescent="0.25">
      <c r="A15" t="s">
        <v>33</v>
      </c>
      <c r="B15" s="6">
        <f ca="1">SUMIFS(Operations[Amount],Operations[Month],$B$11,Operations[Type],Balance_1[[#This Row],[Type]])</f>
        <v>5655.5</v>
      </c>
    </row>
    <row r="16" spans="1:11" x14ac:dyDescent="0.25">
      <c r="A16" t="s">
        <v>34</v>
      </c>
      <c r="B16" s="6">
        <f ca="1">SUMIFS(Operations[Amount],Operations[Month],$B$11,Operations[Type],Balance_1[[#This Row],[Type]])</f>
        <v>0</v>
      </c>
    </row>
    <row r="17" spans="1:2" x14ac:dyDescent="0.25">
      <c r="A17" t="s">
        <v>38</v>
      </c>
      <c r="B17" s="6">
        <f ca="1">SUBTOTAL(109,Balance_1[Total])</f>
        <v>845.5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12C4D-0C59-4457-9D62-CF8B02551300}">
  <dimension ref="A1:K17"/>
  <sheetViews>
    <sheetView zoomScale="140" zoomScaleNormal="140" workbookViewId="0">
      <selection activeCell="D13" sqref="D13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f t="shared" ref="C2:C8" ca="1" si="0">INDIRECT("Flow_"&amp;$B$11-1&amp;"[@[Closing balance]]")</f>
        <v>65</v>
      </c>
      <c r="D2" s="6">
        <f ca="1">SUMIFS(Operations[Amount],Operations[Bank],Flow_2[[#This Row],[Bank]],Operations[Product],Flow_2[[#This Row],[Product]],Operations[Month],$B$11)</f>
        <v>35</v>
      </c>
      <c r="E2" s="6">
        <f ca="1">Flow_2[[#This Row],[Opening balance]]+Flow_2[[#This Row],[Operations]]</f>
        <v>100</v>
      </c>
      <c r="G2" t="s">
        <v>25</v>
      </c>
      <c r="H2" s="6">
        <f ca="1">SUMIFS(Operations[Amount],Operations[Month],$B$11,Operations[Category],Incomes_2[[#This Row],[Category]])</f>
        <v>0</v>
      </c>
      <c r="J2" t="s">
        <v>18</v>
      </c>
      <c r="K2" s="6">
        <f ca="1">SUMIFS(Operations[Amount],Operations[Month],$B$11,Operations[Category],Expenses_2[[#This Row],[Category]])</f>
        <v>-2000</v>
      </c>
    </row>
    <row r="3" spans="1:11" x14ac:dyDescent="0.25">
      <c r="A3" t="s">
        <v>11</v>
      </c>
      <c r="B3" t="s">
        <v>12</v>
      </c>
      <c r="C3" s="6">
        <f t="shared" ca="1" si="0"/>
        <v>266</v>
      </c>
      <c r="D3" s="6">
        <f ca="1">SUMIFS(Operations[Amount],Operations[Bank],Flow_2[[#This Row],[Bank]],Operations[Product],Flow_2[[#This Row],[Product]],Operations[Month],$B$11)</f>
        <v>15</v>
      </c>
      <c r="E3" s="6">
        <f ca="1">Flow_2[[#This Row],[Opening balance]]+Flow_2[[#This Row],[Operations]]</f>
        <v>281</v>
      </c>
      <c r="G3" t="s">
        <v>28</v>
      </c>
      <c r="H3" s="6">
        <f ca="1">SUMIFS(Operations[Amount],Operations[Month],$B$11,Operations[Category],Incomes_2[[#This Row],[Category]])</f>
        <v>115</v>
      </c>
      <c r="J3" t="s">
        <v>22</v>
      </c>
      <c r="K3" s="6">
        <f ca="1">SUMIFS(Operations[Amount],Operations[Month],$B$11,Operations[Category],Expenses_2[[#This Row],[Category]])</f>
        <v>0</v>
      </c>
    </row>
    <row r="4" spans="1:11" x14ac:dyDescent="0.25">
      <c r="A4" t="s">
        <v>7</v>
      </c>
      <c r="B4" t="s">
        <v>8</v>
      </c>
      <c r="C4" s="6">
        <f t="shared" ca="1" si="0"/>
        <v>1700</v>
      </c>
      <c r="D4" s="6">
        <f ca="1">SUMIFS(Operations[Amount],Operations[Bank],Flow_2[[#This Row],[Bank]],Operations[Product],Flow_2[[#This Row],[Product]],Operations[Month],$B$11)</f>
        <v>2039.5</v>
      </c>
      <c r="E4" s="6">
        <f ca="1">Flow_2[[#This Row],[Opening balance]]+Flow_2[[#This Row],[Operations]]</f>
        <v>3739.5</v>
      </c>
      <c r="G4" t="s">
        <v>29</v>
      </c>
      <c r="H4" s="6">
        <f ca="1">SUMIFS(Operations[Amount],Operations[Month],$B$11,Operations[Category],Incomes_2[[#This Row],[Category]])</f>
        <v>0</v>
      </c>
      <c r="J4" t="s">
        <v>20</v>
      </c>
      <c r="K4" s="6">
        <f ca="1">SUMIFS(Operations[Amount],Operations[Month],$B$11,Operations[Category],Expenses_2[[#This Row],[Category]])</f>
        <v>-350</v>
      </c>
    </row>
    <row r="5" spans="1:11" x14ac:dyDescent="0.25">
      <c r="A5" t="s">
        <v>7</v>
      </c>
      <c r="B5" t="s">
        <v>9</v>
      </c>
      <c r="C5" s="6">
        <f t="shared" ca="1" si="0"/>
        <v>-175</v>
      </c>
      <c r="D5" s="6">
        <f ca="1">SUMIFS(Operations[Amount],Operations[Bank],Flow_2[[#This Row],[Bank]],Operations[Product],Flow_2[[#This Row],[Product]],Operations[Month],$B$11)</f>
        <v>175</v>
      </c>
      <c r="E5" s="6">
        <f ca="1">Flow_2[[#This Row],[Opening balance]]+Flow_2[[#This Row],[Operations]]</f>
        <v>0</v>
      </c>
      <c r="G5" t="s">
        <v>30</v>
      </c>
      <c r="H5" s="6">
        <f ca="1">SUMIFS(Operations[Amount],Operations[Month],$B$11,Operations[Category],Incomes_2[[#This Row],[Category]])</f>
        <v>1950</v>
      </c>
      <c r="J5" t="s">
        <v>17</v>
      </c>
      <c r="K5" s="6">
        <f ca="1">SUMIFS(Operations[Amount],Operations[Month],$B$11,Operations[Category],Expenses_2[[#This Row],[Category]])</f>
        <v>-405.5</v>
      </c>
    </row>
    <row r="6" spans="1:11" x14ac:dyDescent="0.25">
      <c r="A6" t="s">
        <v>7</v>
      </c>
      <c r="B6" t="s">
        <v>10</v>
      </c>
      <c r="C6" s="6">
        <f t="shared" ca="1" si="0"/>
        <v>1600</v>
      </c>
      <c r="D6" s="6">
        <f ca="1">SUMIFS(Operations[Amount],Operations[Bank],Flow_2[[#This Row],[Bank]],Operations[Product],Flow_2[[#This Row],[Product]],Operations[Month],$B$11)</f>
        <v>-400</v>
      </c>
      <c r="E6" s="6">
        <f ca="1">Flow_2[[#This Row],[Opening balance]]+Flow_2[[#This Row],[Operations]]</f>
        <v>1200</v>
      </c>
      <c r="G6" t="s">
        <v>26</v>
      </c>
      <c r="H6" s="6">
        <f ca="1">SUMIFS(Operations[Amount],Operations[Month],$B$11,Operations[Category],Incomes_2[[#This Row],[Category]])</f>
        <v>4500</v>
      </c>
      <c r="J6" t="s">
        <v>21</v>
      </c>
      <c r="K6" s="6">
        <f ca="1">SUMIFS(Operations[Amount],Operations[Month],$B$11,Operations[Category],Expenses_2[[#This Row],[Category]])</f>
        <v>-250</v>
      </c>
    </row>
    <row r="7" spans="1:11" x14ac:dyDescent="0.25">
      <c r="A7" t="s">
        <v>13</v>
      </c>
      <c r="B7" t="s">
        <v>15</v>
      </c>
      <c r="C7" s="6">
        <f t="shared" ca="1" si="0"/>
        <v>150</v>
      </c>
      <c r="D7" s="6">
        <f ca="1">SUMIFS(Operations[Amount],Operations[Bank],Flow_2[[#This Row],[Bank]],Operations[Product],Flow_2[[#This Row],[Product]],Operations[Month],$B$11)</f>
        <v>100</v>
      </c>
      <c r="E7" s="6">
        <f ca="1">Flow_2[[#This Row],[Opening balance]]+Flow_2[[#This Row],[Operations]]</f>
        <v>250</v>
      </c>
      <c r="G7" t="s">
        <v>27</v>
      </c>
      <c r="H7" s="6">
        <f ca="1">SUMIFS(Operations[Amount],Operations[Month],$B$11,Operations[Category],Incomes_2[[#This Row],[Category]])</f>
        <v>0</v>
      </c>
      <c r="J7" t="s">
        <v>19</v>
      </c>
      <c r="K7" s="6">
        <f ca="1">SUMIFS(Operations[Amount],Operations[Month],$B$11,Operations[Category],Expenses_2[[#This Row],[Category]])</f>
        <v>-150</v>
      </c>
    </row>
    <row r="8" spans="1:11" x14ac:dyDescent="0.25">
      <c r="A8" t="s">
        <v>13</v>
      </c>
      <c r="B8" t="s">
        <v>14</v>
      </c>
      <c r="C8" s="6">
        <f t="shared" ca="1" si="0"/>
        <v>180</v>
      </c>
      <c r="D8" s="6">
        <f ca="1">SUMIFS(Operations[Amount],Operations[Bank],Flow_2[[#This Row],[Bank]],Operations[Product],Flow_2[[#This Row],[Product]],Operations[Month],$B$11)</f>
        <v>500</v>
      </c>
      <c r="E8" s="6">
        <f ca="1">Flow_2[[#This Row],[Opening balance]]+Flow_2[[#This Row],[Operations]]</f>
        <v>680</v>
      </c>
      <c r="G8" t="s">
        <v>38</v>
      </c>
      <c r="H8" s="6">
        <f ca="1">SUBTOTAL(109,Incomes_2[Total])</f>
        <v>6565</v>
      </c>
      <c r="J8" t="s">
        <v>24</v>
      </c>
      <c r="K8" s="6">
        <f ca="1">SUMIFS(Operations[Amount],Operations[Month],$B$11,Operations[Category],Expenses_2[[#This Row],[Category]])</f>
        <v>-765</v>
      </c>
    </row>
    <row r="9" spans="1:11" x14ac:dyDescent="0.25">
      <c r="A9" t="s">
        <v>38</v>
      </c>
      <c r="C9" s="6">
        <f ca="1">SUBTOTAL(109,Flow_2[Opening balance])</f>
        <v>3786</v>
      </c>
      <c r="D9" s="6">
        <f ca="1">SUBTOTAL(109,Flow_2[Operations])</f>
        <v>2464.5</v>
      </c>
      <c r="E9" s="6">
        <f ca="1">SUBTOTAL(109,Flow_2[Closing balance])</f>
        <v>6250.5</v>
      </c>
      <c r="J9" t="s">
        <v>23</v>
      </c>
      <c r="K9" s="6">
        <f ca="1">SUMIFS(Operations[Amount],Operations[Month],$B$11,Operations[Category],Expenses_2[[#This Row],[Category]])</f>
        <v>-100</v>
      </c>
    </row>
    <row r="10" spans="1:11" x14ac:dyDescent="0.25">
      <c r="J10" t="s">
        <v>16</v>
      </c>
      <c r="K10" s="6">
        <f ca="1">SUMIFS(Operations[Amount],Operations[Month],$B$11,Operations[Category],Expenses_2[[#This Row],[Category]])</f>
        <v>-80</v>
      </c>
    </row>
    <row r="11" spans="1:11" x14ac:dyDescent="0.25">
      <c r="A11" s="7" t="s">
        <v>6</v>
      </c>
      <c r="B11" s="8" t="str" cm="1">
        <f t="array" aca="1" ref="B11" ca="1">RIGHT(CELL("filename",A1),LEN(CELL("filename",A1))-FIND("]",CELL("filename",A1)))</f>
        <v>2</v>
      </c>
      <c r="J11" t="s">
        <v>38</v>
      </c>
      <c r="K11" s="6">
        <f ca="1">SUBTOTAL(109,Expenses_2[Total])</f>
        <v>-4100.5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SUMIFS(Operations[Amount],Operations[Month],$B$11,Operations[Type],Balance_2[[#This Row],[Type]])</f>
        <v>-4100.5</v>
      </c>
    </row>
    <row r="15" spans="1:11" x14ac:dyDescent="0.25">
      <c r="A15" t="s">
        <v>33</v>
      </c>
      <c r="B15" s="6">
        <f ca="1">SUMIFS(Operations[Amount],Operations[Month],$B$11,Operations[Type],Balance_2[[#This Row],[Type]])</f>
        <v>6565</v>
      </c>
    </row>
    <row r="16" spans="1:11" x14ac:dyDescent="0.25">
      <c r="A16" t="s">
        <v>34</v>
      </c>
      <c r="B16" s="6">
        <f ca="1">SUMIFS(Operations[Amount],Operations[Month],$B$11,Operations[Type],Balance_2[[#This Row],[Type]])</f>
        <v>0</v>
      </c>
    </row>
    <row r="17" spans="1:2" x14ac:dyDescent="0.25">
      <c r="A17" t="s">
        <v>38</v>
      </c>
      <c r="B17" s="6">
        <f ca="1">SUBTOTAL(109,Balance_2[Total])</f>
        <v>2464.5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04E3E-A215-4B5D-A137-49D556E6DC06}">
  <dimension ref="A1:K17"/>
  <sheetViews>
    <sheetView zoomScale="140" zoomScaleNormal="140" workbookViewId="0">
      <selection activeCell="E18" sqref="E18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f t="shared" ref="C2:C8" ca="1" si="0">INDIRECT("Flow_"&amp;$B$11-1&amp;"[@[Closing balance]]")</f>
        <v>100</v>
      </c>
      <c r="D2" s="6">
        <f ca="1">SUMIFS(Operations[Amount],Operations[Bank],Flow_3[[#This Row],[Bank]],Operations[Product],Flow_3[[#This Row],[Product]],Operations[Month],$B$11)</f>
        <v>67.5</v>
      </c>
      <c r="E2" s="6">
        <f ca="1">Flow_3[[#This Row],[Opening balance]]+Flow_3[[#This Row],[Operations]]</f>
        <v>167.5</v>
      </c>
      <c r="G2" t="s">
        <v>25</v>
      </c>
      <c r="H2" s="6">
        <f ca="1">SUMIFS(Operations[Amount],Operations[Month],$B$11,Operations[Category],Incomes_3[[#This Row],[Category]])</f>
        <v>0</v>
      </c>
      <c r="J2" t="s">
        <v>18</v>
      </c>
      <c r="K2" s="6">
        <f ca="1">SUMIFS(Operations[Amount],Operations[Month],$B$11,Operations[Category],Expenses_3[[#This Row],[Category]])</f>
        <v>-2000</v>
      </c>
    </row>
    <row r="3" spans="1:11" x14ac:dyDescent="0.25">
      <c r="A3" t="s">
        <v>11</v>
      </c>
      <c r="B3" t="s">
        <v>12</v>
      </c>
      <c r="C3" s="6">
        <f t="shared" ca="1" si="0"/>
        <v>281</v>
      </c>
      <c r="D3" s="6">
        <f ca="1">SUMIFS(Operations[Amount],Operations[Bank],Flow_3[[#This Row],[Bank]],Operations[Product],Flow_3[[#This Row],[Product]],Operations[Month],$B$11)</f>
        <v>5</v>
      </c>
      <c r="E3" s="6">
        <f ca="1">Flow_3[[#This Row],[Opening balance]]+Flow_3[[#This Row],[Operations]]</f>
        <v>286</v>
      </c>
      <c r="G3" t="s">
        <v>28</v>
      </c>
      <c r="H3" s="6">
        <f ca="1">SUMIFS(Operations[Amount],Operations[Month],$B$11,Operations[Category],Incomes_3[[#This Row],[Category]])</f>
        <v>150</v>
      </c>
      <c r="J3" t="s">
        <v>22</v>
      </c>
      <c r="K3" s="6">
        <f ca="1">SUMIFS(Operations[Amount],Operations[Month],$B$11,Operations[Category],Expenses_3[[#This Row],[Category]])</f>
        <v>-469.9</v>
      </c>
    </row>
    <row r="4" spans="1:11" x14ac:dyDescent="0.25">
      <c r="A4" t="s">
        <v>7</v>
      </c>
      <c r="B4" t="s">
        <v>8</v>
      </c>
      <c r="C4" s="6">
        <f ca="1">INDIRECT("Flow_"&amp;$B$11-1&amp;"[@[Closing balance]]")</f>
        <v>3739.5</v>
      </c>
      <c r="D4" s="6">
        <f ca="1">SUMIFS(Operations[Amount],Operations[Bank],Flow_3[[#This Row],[Bank]],Operations[Product],Flow_3[[#This Row],[Product]],Operations[Month],$B$11)</f>
        <v>821.59999999999991</v>
      </c>
      <c r="E4" s="6">
        <f ca="1">Flow_3[[#This Row],[Opening balance]]+Flow_3[[#This Row],[Operations]]</f>
        <v>4561.1000000000004</v>
      </c>
      <c r="G4" t="s">
        <v>29</v>
      </c>
      <c r="H4" s="6">
        <f ca="1">SUMIFS(Operations[Amount],Operations[Month],$B$11,Operations[Category],Incomes_3[[#This Row],[Category]])</f>
        <v>5</v>
      </c>
      <c r="J4" t="s">
        <v>20</v>
      </c>
      <c r="K4" s="6">
        <f ca="1">SUMIFS(Operations[Amount],Operations[Month],$B$11,Operations[Category],Expenses_3[[#This Row],[Category]])</f>
        <v>-200</v>
      </c>
    </row>
    <row r="5" spans="1:11" x14ac:dyDescent="0.25">
      <c r="A5" t="s">
        <v>7</v>
      </c>
      <c r="B5" t="s">
        <v>9</v>
      </c>
      <c r="C5" s="6">
        <f t="shared" ca="1" si="0"/>
        <v>0</v>
      </c>
      <c r="D5" s="6">
        <f ca="1">SUMIFS(Operations[Amount],Operations[Bank],Flow_3[[#This Row],[Bank]],Operations[Product],Flow_3[[#This Row],[Product]],Operations[Month],$B$11)</f>
        <v>-104.5</v>
      </c>
      <c r="E5" s="6">
        <f ca="1">Flow_3[[#This Row],[Opening balance]]+Flow_3[[#This Row],[Operations]]</f>
        <v>-104.5</v>
      </c>
      <c r="G5" t="s">
        <v>30</v>
      </c>
      <c r="H5" s="6">
        <f ca="1">SUMIFS(Operations[Amount],Operations[Month],$B$11,Operations[Category],Incomes_3[[#This Row],[Category]])</f>
        <v>0</v>
      </c>
      <c r="J5" t="s">
        <v>17</v>
      </c>
      <c r="K5" s="6">
        <f ca="1">SUMIFS(Operations[Amount],Operations[Month],$B$11,Operations[Category],Expenses_3[[#This Row],[Category]])</f>
        <v>-734.99</v>
      </c>
    </row>
    <row r="6" spans="1:11" x14ac:dyDescent="0.25">
      <c r="A6" t="s">
        <v>7</v>
      </c>
      <c r="B6" t="s">
        <v>10</v>
      </c>
      <c r="C6" s="6">
        <f t="shared" ca="1" si="0"/>
        <v>1200</v>
      </c>
      <c r="D6" s="6">
        <f ca="1">SUMIFS(Operations[Amount],Operations[Bank],Flow_3[[#This Row],[Bank]],Operations[Product],Flow_3[[#This Row],[Product]],Operations[Month],$B$11)</f>
        <v>0</v>
      </c>
      <c r="E6" s="6">
        <f ca="1">Flow_3[[#This Row],[Opening balance]]+Flow_3[[#This Row],[Operations]]</f>
        <v>1200</v>
      </c>
      <c r="G6" t="s">
        <v>26</v>
      </c>
      <c r="H6" s="6">
        <f ca="1">SUMIFS(Operations[Amount],Operations[Month],$B$11,Operations[Category],Incomes_3[[#This Row],[Category]])</f>
        <v>4500</v>
      </c>
      <c r="J6" t="s">
        <v>21</v>
      </c>
      <c r="K6" s="6">
        <f ca="1">SUMIFS(Operations[Amount],Operations[Month],$B$11,Operations[Category],Expenses_3[[#This Row],[Category]])</f>
        <v>-9.5</v>
      </c>
    </row>
    <row r="7" spans="1:11" x14ac:dyDescent="0.25">
      <c r="A7" t="s">
        <v>13</v>
      </c>
      <c r="B7" t="s">
        <v>15</v>
      </c>
      <c r="C7" s="6">
        <f t="shared" ca="1" si="0"/>
        <v>250</v>
      </c>
      <c r="D7" s="6">
        <f ca="1">SUMIFS(Operations[Amount],Operations[Bank],Flow_3[[#This Row],[Bank]],Operations[Product],Flow_3[[#This Row],[Product]],Operations[Month],$B$11)</f>
        <v>-24.49</v>
      </c>
      <c r="E7" s="6">
        <f ca="1">Flow_3[[#This Row],[Opening balance]]+Flow_3[[#This Row],[Operations]]</f>
        <v>225.51</v>
      </c>
      <c r="G7" t="s">
        <v>27</v>
      </c>
      <c r="H7" s="6">
        <f ca="1">SUMIFS(Operations[Amount],Operations[Month],$B$11,Operations[Category],Incomes_3[[#This Row],[Category]])</f>
        <v>0</v>
      </c>
      <c r="J7" t="s">
        <v>19</v>
      </c>
      <c r="K7" s="6">
        <f ca="1">SUMIFS(Operations[Amount],Operations[Month],$B$11,Operations[Category],Expenses_3[[#This Row],[Category]])</f>
        <v>-23</v>
      </c>
    </row>
    <row r="8" spans="1:11" x14ac:dyDescent="0.25">
      <c r="A8" t="s">
        <v>13</v>
      </c>
      <c r="B8" t="s">
        <v>14</v>
      </c>
      <c r="C8" s="6">
        <f t="shared" ca="1" si="0"/>
        <v>680</v>
      </c>
      <c r="D8" s="6">
        <f ca="1">SUMIFS(Operations[Amount],Operations[Bank],Flow_3[[#This Row],[Bank]],Operations[Product],Flow_3[[#This Row],[Product]],Operations[Month],$B$11)</f>
        <v>-9.5</v>
      </c>
      <c r="E8" s="6">
        <f ca="1">Flow_3[[#This Row],[Opening balance]]+Flow_3[[#This Row],[Operations]]</f>
        <v>670.5</v>
      </c>
      <c r="G8" t="s">
        <v>38</v>
      </c>
      <c r="H8" s="6">
        <f ca="1">SUBTOTAL(109,Incomes_3[Total])</f>
        <v>4655</v>
      </c>
      <c r="J8" t="s">
        <v>24</v>
      </c>
      <c r="K8" s="6">
        <f ca="1">SUMIFS(Operations[Amount],Operations[Month],$B$11,Operations[Category],Expenses_3[[#This Row],[Category]])</f>
        <v>-300</v>
      </c>
    </row>
    <row r="9" spans="1:11" x14ac:dyDescent="0.25">
      <c r="A9" t="s">
        <v>38</v>
      </c>
      <c r="C9" s="6">
        <f ca="1">SUBTOTAL(109,Flow_3[Opening balance])</f>
        <v>6250.5</v>
      </c>
      <c r="D9" s="6">
        <f ca="1">SUBTOTAL(109,Flow_3[Operations])</f>
        <v>755.6099999999999</v>
      </c>
      <c r="E9" s="6">
        <f ca="1">SUBTOTAL(109,Flow_3[Closing balance])</f>
        <v>7006.1100000000006</v>
      </c>
      <c r="J9" t="s">
        <v>23</v>
      </c>
      <c r="K9" s="6">
        <f ca="1">SUMIFS(Operations[Amount],Operations[Month],$B$11,Operations[Category],Expenses_3[[#This Row],[Category]])</f>
        <v>-79.5</v>
      </c>
    </row>
    <row r="10" spans="1:11" x14ac:dyDescent="0.25">
      <c r="J10" t="s">
        <v>16</v>
      </c>
      <c r="K10" s="6">
        <f ca="1">SUMIFS(Operations[Amount],Operations[Month],$B$11,Operations[Category],Expenses_3[[#This Row],[Category]])</f>
        <v>-82.5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3</v>
      </c>
      <c r="J11" t="s">
        <v>38</v>
      </c>
      <c r="K11" s="6">
        <f ca="1">SUBTOTAL(109,Expenses_3[Total])</f>
        <v>-3899.3900000000003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SUMIFS(Operations[Amount],Operations[Month],$B$11,Operations[Type],Balance_3[[#This Row],[Type]])</f>
        <v>-3899.39</v>
      </c>
    </row>
    <row r="15" spans="1:11" x14ac:dyDescent="0.25">
      <c r="A15" t="s">
        <v>33</v>
      </c>
      <c r="B15" s="6">
        <f ca="1">SUMIFS(Operations[Amount],Operations[Month],$B$11,Operations[Type],Balance_3[[#This Row],[Type]])</f>
        <v>4655</v>
      </c>
    </row>
    <row r="16" spans="1:11" x14ac:dyDescent="0.25">
      <c r="A16" t="s">
        <v>34</v>
      </c>
      <c r="B16" s="6">
        <f ca="1">SUMIFS(Operations[Amount],Operations[Month],$B$11,Operations[Type],Balance_3[[#This Row],[Type]])</f>
        <v>0</v>
      </c>
    </row>
    <row r="17" spans="1:2" x14ac:dyDescent="0.25">
      <c r="A17" t="s">
        <v>38</v>
      </c>
      <c r="B17" s="6">
        <f ca="1">SUBTOTAL(109,Balance_3[Total])</f>
        <v>755.61000000000013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C0C-CF2B-4EF7-B7BF-C501FCFBF49A}">
  <dimension ref="A1:K17"/>
  <sheetViews>
    <sheetView zoomScale="140" zoomScaleNormal="140" workbookViewId="0">
      <selection activeCell="C3" sqref="C3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f t="shared" ref="C2:C8" ca="1" si="0">INDIRECT("Flow_"&amp;$B$11-1&amp;"[@[Closing balance]]")</f>
        <v>167.5</v>
      </c>
      <c r="D2" s="6">
        <f ca="1">SUMIFS(Operations[Amount],Operations[Bank],Flow_4[[#This Row],[Bank]],Operations[Product],Flow_4[[#This Row],[Product]],Operations[Month],$B$11)</f>
        <v>101</v>
      </c>
      <c r="E2" s="6">
        <f ca="1">Flow_4[[#This Row],[Opening balance]]+Flow_4[[#This Row],[Operations]]</f>
        <v>268.5</v>
      </c>
      <c r="G2" t="s">
        <v>25</v>
      </c>
      <c r="H2" s="6">
        <f ca="1">SUMIFS(Operations[Amount],Operations[Month],$B$11,Operations[Category],Incomes_4[[#This Row],[Category]])</f>
        <v>0</v>
      </c>
      <c r="J2" t="s">
        <v>18</v>
      </c>
      <c r="K2" s="6">
        <f ca="1">SUMIFS(Operations[Amount],Operations[Month],$B$11,Operations[Category],Expenses_4[[#This Row],[Category]])</f>
        <v>-2000</v>
      </c>
    </row>
    <row r="3" spans="1:11" x14ac:dyDescent="0.25">
      <c r="A3" t="s">
        <v>11</v>
      </c>
      <c r="B3" t="s">
        <v>12</v>
      </c>
      <c r="C3" s="6">
        <f t="shared" ca="1" si="0"/>
        <v>286</v>
      </c>
      <c r="D3" s="6">
        <f ca="1">SUMIFS(Operations[Amount],Operations[Bank],Flow_4[[#This Row],[Bank]],Operations[Product],Flow_4[[#This Row],[Product]],Operations[Month],$B$11)</f>
        <v>50</v>
      </c>
      <c r="E3" s="6">
        <f ca="1">Flow_4[[#This Row],[Opening balance]]+Flow_4[[#This Row],[Operations]]</f>
        <v>336</v>
      </c>
      <c r="G3" t="s">
        <v>28</v>
      </c>
      <c r="H3" s="6">
        <f ca="1">SUMIFS(Operations[Amount],Operations[Month],$B$11,Operations[Category],Incomes_4[[#This Row],[Category]])</f>
        <v>150</v>
      </c>
      <c r="J3" t="s">
        <v>22</v>
      </c>
      <c r="K3" s="6">
        <f ca="1">SUMIFS(Operations[Amount],Operations[Month],$B$11,Operations[Category],Expenses_4[[#This Row],[Category]])</f>
        <v>-149</v>
      </c>
    </row>
    <row r="4" spans="1:11" x14ac:dyDescent="0.25">
      <c r="A4" t="s">
        <v>7</v>
      </c>
      <c r="B4" t="s">
        <v>8</v>
      </c>
      <c r="C4" s="6">
        <f t="shared" ca="1" si="0"/>
        <v>4561.1000000000004</v>
      </c>
      <c r="D4" s="6">
        <f ca="1">SUMIFS(Operations[Amount],Operations[Bank],Flow_4[[#This Row],[Bank]],Operations[Product],Flow_4[[#This Row],[Product]],Operations[Month],$B$11)</f>
        <v>562.72999999999968</v>
      </c>
      <c r="E4" s="6">
        <f ca="1">Flow_4[[#This Row],[Opening balance]]+Flow_4[[#This Row],[Operations]]</f>
        <v>5123.83</v>
      </c>
      <c r="G4" t="s">
        <v>29</v>
      </c>
      <c r="H4" s="6">
        <f ca="1">SUMIFS(Operations[Amount],Operations[Month],$B$11,Operations[Category],Incomes_4[[#This Row],[Category]])</f>
        <v>50</v>
      </c>
      <c r="J4" t="s">
        <v>20</v>
      </c>
      <c r="K4" s="6">
        <f ca="1">SUMIFS(Operations[Amount],Operations[Month],$B$11,Operations[Category],Expenses_4[[#This Row],[Category]])</f>
        <v>-1057.9000000000001</v>
      </c>
    </row>
    <row r="5" spans="1:11" x14ac:dyDescent="0.25">
      <c r="A5" t="s">
        <v>7</v>
      </c>
      <c r="B5" t="s">
        <v>9</v>
      </c>
      <c r="C5" s="6">
        <f t="shared" ca="1" si="0"/>
        <v>-104.5</v>
      </c>
      <c r="D5" s="6">
        <f ca="1">SUMIFS(Operations[Amount],Operations[Bank],Flow_4[[#This Row],[Bank]],Operations[Product],Flow_4[[#This Row],[Product]],Operations[Month],$B$11)</f>
        <v>13.110000000000007</v>
      </c>
      <c r="E5" s="6">
        <f ca="1">Flow_4[[#This Row],[Opening balance]]+Flow_4[[#This Row],[Operations]]</f>
        <v>-91.389999999999986</v>
      </c>
      <c r="G5" t="s">
        <v>30</v>
      </c>
      <c r="H5" s="6">
        <f ca="1">SUMIFS(Operations[Amount],Operations[Month],$B$11,Operations[Category],Incomes_4[[#This Row],[Category]])</f>
        <v>0</v>
      </c>
      <c r="J5" t="s">
        <v>17</v>
      </c>
      <c r="K5" s="6">
        <f ca="1">SUMIFS(Operations[Amount],Operations[Month],$B$11,Operations[Category],Expenses_4[[#This Row],[Category]])</f>
        <v>-372.26</v>
      </c>
    </row>
    <row r="6" spans="1:11" x14ac:dyDescent="0.25">
      <c r="A6" t="s">
        <v>7</v>
      </c>
      <c r="B6" t="s">
        <v>10</v>
      </c>
      <c r="C6" s="6">
        <f t="shared" ca="1" si="0"/>
        <v>1200</v>
      </c>
      <c r="D6" s="6">
        <f ca="1">SUMIFS(Operations[Amount],Operations[Bank],Flow_4[[#This Row],[Bank]],Operations[Product],Flow_4[[#This Row],[Product]],Operations[Month],$B$11)</f>
        <v>0</v>
      </c>
      <c r="E6" s="6">
        <f ca="1">Flow_4[[#This Row],[Opening balance]]+Flow_4[[#This Row],[Operations]]</f>
        <v>1200</v>
      </c>
      <c r="G6" t="s">
        <v>26</v>
      </c>
      <c r="H6" s="6">
        <f ca="1">SUMIFS(Operations[Amount],Operations[Month],$B$11,Operations[Category],Incomes_4[[#This Row],[Category]])</f>
        <v>4500</v>
      </c>
      <c r="J6" t="s">
        <v>21</v>
      </c>
      <c r="K6" s="6">
        <f ca="1">SUMIFS(Operations[Amount],Operations[Month],$B$11,Operations[Category],Expenses_4[[#This Row],[Category]])</f>
        <v>-23.5</v>
      </c>
    </row>
    <row r="7" spans="1:11" x14ac:dyDescent="0.25">
      <c r="A7" t="s">
        <v>13</v>
      </c>
      <c r="B7" t="s">
        <v>15</v>
      </c>
      <c r="C7" s="6">
        <f t="shared" ca="1" si="0"/>
        <v>225.51</v>
      </c>
      <c r="D7" s="6">
        <f ca="1">SUMIFS(Operations[Amount],Operations[Bank],Flow_4[[#This Row],[Bank]],Operations[Product],Flow_4[[#This Row],[Product]],Operations[Month],$B$11)</f>
        <v>0</v>
      </c>
      <c r="E7" s="6">
        <f ca="1">Flow_4[[#This Row],[Opening balance]]+Flow_4[[#This Row],[Operations]]</f>
        <v>225.51</v>
      </c>
      <c r="G7" t="s">
        <v>27</v>
      </c>
      <c r="H7" s="6">
        <f ca="1">SUMIFS(Operations[Amount],Operations[Month],$B$11,Operations[Category],Incomes_4[[#This Row],[Category]])</f>
        <v>0</v>
      </c>
      <c r="J7" t="s">
        <v>19</v>
      </c>
      <c r="K7" s="6">
        <f ca="1">SUMIFS(Operations[Amount],Operations[Month],$B$11,Operations[Category],Expenses_4[[#This Row],[Category]])</f>
        <v>-49</v>
      </c>
    </row>
    <row r="8" spans="1:11" x14ac:dyDescent="0.25">
      <c r="A8" t="s">
        <v>13</v>
      </c>
      <c r="B8" t="s">
        <v>14</v>
      </c>
      <c r="C8" s="6">
        <f t="shared" ca="1" si="0"/>
        <v>670.5</v>
      </c>
      <c r="D8" s="6">
        <f ca="1">SUMIFS(Operations[Amount],Operations[Bank],Flow_4[[#This Row],[Bank]],Operations[Product],Flow_4[[#This Row],[Product]],Operations[Month],$B$11)</f>
        <v>0</v>
      </c>
      <c r="E8" s="6">
        <f ca="1">Flow_4[[#This Row],[Opening balance]]+Flow_4[[#This Row],[Operations]]</f>
        <v>670.5</v>
      </c>
      <c r="G8" t="s">
        <v>38</v>
      </c>
      <c r="H8" s="6">
        <f ca="1">SUBTOTAL(109,Incomes_4[Total])</f>
        <v>4700</v>
      </c>
      <c r="J8" t="s">
        <v>24</v>
      </c>
      <c r="K8" s="6">
        <f ca="1">SUMIFS(Operations[Amount],Operations[Month],$B$11,Operations[Category],Expenses_4[[#This Row],[Category]])</f>
        <v>-100</v>
      </c>
    </row>
    <row r="9" spans="1:11" x14ac:dyDescent="0.25">
      <c r="A9" t="s">
        <v>38</v>
      </c>
      <c r="C9" s="6">
        <f ca="1">SUBTOTAL(109,Flow_4[Opening balance])</f>
        <v>7006.1100000000006</v>
      </c>
      <c r="D9" s="6">
        <f ca="1">SUBTOTAL(109,Flow_4[Operations])</f>
        <v>726.83999999999969</v>
      </c>
      <c r="E9" s="6">
        <f ca="1">SUBTOTAL(109,Flow_4[Closing balance])</f>
        <v>7732.95</v>
      </c>
      <c r="J9" t="s">
        <v>23</v>
      </c>
      <c r="K9" s="6">
        <f ca="1">SUMIFS(Operations[Amount],Operations[Month],$B$11,Operations[Category],Expenses_4[[#This Row],[Category]])</f>
        <v>-139</v>
      </c>
    </row>
    <row r="10" spans="1:11" x14ac:dyDescent="0.25">
      <c r="J10" t="s">
        <v>16</v>
      </c>
      <c r="K10" s="6">
        <f ca="1">SUMIFS(Operations[Amount],Operations[Month],$B$11,Operations[Category],Expenses_4[[#This Row],[Category]])</f>
        <v>-82.5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4</v>
      </c>
      <c r="J11" t="s">
        <v>38</v>
      </c>
      <c r="K11" s="6">
        <f ca="1">SUBTOTAL(109,Expenses_4[Total])</f>
        <v>-3973.16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SUMIFS(Operations[Amount],Operations[Month],$B$11,Operations[Type],Balance_4[[#This Row],[Type]])</f>
        <v>-3973.16</v>
      </c>
    </row>
    <row r="15" spans="1:11" x14ac:dyDescent="0.25">
      <c r="A15" t="s">
        <v>33</v>
      </c>
      <c r="B15" s="6">
        <f ca="1">SUMIFS(Operations[Amount],Operations[Month],$B$11,Operations[Type],Balance_4[[#This Row],[Type]])</f>
        <v>4700</v>
      </c>
    </row>
    <row r="16" spans="1:11" x14ac:dyDescent="0.25">
      <c r="A16" t="s">
        <v>34</v>
      </c>
      <c r="B16" s="6">
        <f ca="1">SUMIFS(Operations[Amount],Operations[Month],$B$11,Operations[Type],Balance_4[[#This Row],[Type]])</f>
        <v>0</v>
      </c>
    </row>
    <row r="17" spans="1:2" x14ac:dyDescent="0.25">
      <c r="A17" t="s">
        <v>38</v>
      </c>
      <c r="B17" s="6">
        <f ca="1">SUBTOTAL(109,Balance_4[Total])</f>
        <v>726.84000000000015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14C3-89D3-4DC1-980F-E217359A9195}">
  <dimension ref="A1:K17"/>
  <sheetViews>
    <sheetView zoomScale="140" zoomScaleNormal="140" workbookViewId="0">
      <selection activeCell="C3" sqref="C3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f t="shared" ref="C2:C8" ca="1" si="0">INDIRECT("Flow_"&amp;$B$11-1&amp;"[@[Closing balance]]")</f>
        <v>268.5</v>
      </c>
      <c r="D2" s="6">
        <f ca="1">SUMIFS(Operations[Amount],Operations[Bank],Flow_5[[#This Row],[Bank]],Operations[Product],Flow_5[[#This Row],[Product]],Operations[Month],$B$11)</f>
        <v>-50</v>
      </c>
      <c r="E2" s="6">
        <f ca="1">Flow_5[[#This Row],[Opening balance]]+Flow_5[[#This Row],[Operations]]</f>
        <v>218.5</v>
      </c>
      <c r="G2" t="s">
        <v>25</v>
      </c>
      <c r="H2" s="6">
        <f ca="1">SUMIFS(Operations[Amount],Operations[Month],$B$11,Operations[Category],Incomes_5[[#This Row],[Category]])</f>
        <v>0</v>
      </c>
      <c r="J2" t="s">
        <v>18</v>
      </c>
      <c r="K2" s="6">
        <f ca="1">SUMIFS(Operations[Amount],Operations[Month],$B$11,Operations[Category],Expenses_5[[#This Row],[Category]])</f>
        <v>-2000</v>
      </c>
    </row>
    <row r="3" spans="1:11" x14ac:dyDescent="0.25">
      <c r="A3" t="s">
        <v>11</v>
      </c>
      <c r="B3" t="s">
        <v>12</v>
      </c>
      <c r="C3" s="6">
        <f t="shared" ca="1" si="0"/>
        <v>336</v>
      </c>
      <c r="D3" s="6">
        <f ca="1">SUMIFS(Operations[Amount],Operations[Bank],Flow_5[[#This Row],[Bank]],Operations[Product],Flow_5[[#This Row],[Product]],Operations[Month],$B$11)</f>
        <v>0</v>
      </c>
      <c r="E3" s="6">
        <f ca="1">Flow_5[[#This Row],[Opening balance]]+Flow_5[[#This Row],[Operations]]</f>
        <v>336</v>
      </c>
      <c r="G3" t="s">
        <v>28</v>
      </c>
      <c r="H3" s="6">
        <f ca="1">SUMIFS(Operations[Amount],Operations[Month],$B$11,Operations[Category],Incomes_5[[#This Row],[Category]])</f>
        <v>0</v>
      </c>
      <c r="J3" t="s">
        <v>22</v>
      </c>
      <c r="K3" s="6">
        <f ca="1">SUMIFS(Operations[Amount],Operations[Month],$B$11,Operations[Category],Expenses_5[[#This Row],[Category]])</f>
        <v>0</v>
      </c>
    </row>
    <row r="4" spans="1:11" x14ac:dyDescent="0.25">
      <c r="A4" t="s">
        <v>7</v>
      </c>
      <c r="B4" t="s">
        <v>8</v>
      </c>
      <c r="C4" s="6">
        <f t="shared" ca="1" si="0"/>
        <v>5123.83</v>
      </c>
      <c r="D4" s="6">
        <f ca="1">SUMIFS(Operations[Amount],Operations[Bank],Flow_5[[#This Row],[Bank]],Operations[Product],Flow_5[[#This Row],[Product]],Operations[Month],$B$11)</f>
        <v>2328.61</v>
      </c>
      <c r="E4" s="6">
        <f ca="1">Flow_5[[#This Row],[Opening balance]]+Flow_5[[#This Row],[Operations]]</f>
        <v>7452.4400000000005</v>
      </c>
      <c r="G4" t="s">
        <v>29</v>
      </c>
      <c r="H4" s="6">
        <f ca="1">SUMIFS(Operations[Amount],Operations[Month],$B$11,Operations[Category],Incomes_5[[#This Row],[Category]])</f>
        <v>0</v>
      </c>
      <c r="J4" t="s">
        <v>20</v>
      </c>
      <c r="K4" s="6">
        <f ca="1">SUMIFS(Operations[Amount],Operations[Month],$B$11,Operations[Category],Expenses_5[[#This Row],[Category]])</f>
        <v>-80</v>
      </c>
    </row>
    <row r="5" spans="1:11" x14ac:dyDescent="0.25">
      <c r="A5" t="s">
        <v>7</v>
      </c>
      <c r="B5" t="s">
        <v>9</v>
      </c>
      <c r="C5" s="6">
        <f t="shared" ca="1" si="0"/>
        <v>-91.389999999999986</v>
      </c>
      <c r="D5" s="6">
        <f ca="1">SUMIFS(Operations[Amount],Operations[Bank],Flow_5[[#This Row],[Bank]],Operations[Product],Flow_5[[#This Row],[Product]],Operations[Month],$B$11)</f>
        <v>-908.61</v>
      </c>
      <c r="E5" s="6">
        <f ca="1">Flow_5[[#This Row],[Opening balance]]+Flow_5[[#This Row],[Operations]]</f>
        <v>-1000</v>
      </c>
      <c r="G5" t="s">
        <v>30</v>
      </c>
      <c r="H5" s="6">
        <f ca="1">SUMIFS(Operations[Amount],Operations[Month],$B$11,Operations[Category],Incomes_5[[#This Row],[Category]])</f>
        <v>0</v>
      </c>
      <c r="J5" t="s">
        <v>17</v>
      </c>
      <c r="K5" s="6">
        <f ca="1">SUMIFS(Operations[Amount],Operations[Month],$B$11,Operations[Category],Expenses_5[[#This Row],[Category]])</f>
        <v>-1000</v>
      </c>
    </row>
    <row r="6" spans="1:11" x14ac:dyDescent="0.25">
      <c r="A6" t="s">
        <v>7</v>
      </c>
      <c r="B6" t="s">
        <v>10</v>
      </c>
      <c r="C6" s="6">
        <f t="shared" ca="1" si="0"/>
        <v>1200</v>
      </c>
      <c r="D6" s="6">
        <f ca="1">SUMIFS(Operations[Amount],Operations[Bank],Flow_5[[#This Row],[Bank]],Operations[Product],Flow_5[[#This Row],[Product]],Operations[Month],$B$11)</f>
        <v>0</v>
      </c>
      <c r="E6" s="6">
        <f ca="1">Flow_5[[#This Row],[Opening balance]]+Flow_5[[#This Row],[Operations]]</f>
        <v>1200</v>
      </c>
      <c r="G6" t="s">
        <v>26</v>
      </c>
      <c r="H6" s="6">
        <f ca="1">SUMIFS(Operations[Amount],Operations[Month],$B$11,Operations[Category],Incomes_5[[#This Row],[Category]])</f>
        <v>4500</v>
      </c>
      <c r="J6" t="s">
        <v>21</v>
      </c>
      <c r="K6" s="6">
        <f ca="1">SUMIFS(Operations[Amount],Operations[Month],$B$11,Operations[Category],Expenses_5[[#This Row],[Category]])</f>
        <v>0</v>
      </c>
    </row>
    <row r="7" spans="1:11" x14ac:dyDescent="0.25">
      <c r="A7" t="s">
        <v>13</v>
      </c>
      <c r="B7" t="s">
        <v>15</v>
      </c>
      <c r="C7" s="6">
        <f t="shared" ca="1" si="0"/>
        <v>225.51</v>
      </c>
      <c r="D7" s="6">
        <f ca="1">SUMIFS(Operations[Amount],Operations[Bank],Flow_5[[#This Row],[Bank]],Operations[Product],Flow_5[[#This Row],[Product]],Operations[Month],$B$11)</f>
        <v>0</v>
      </c>
      <c r="E7" s="6">
        <f ca="1">Flow_5[[#This Row],[Opening balance]]+Flow_5[[#This Row],[Operations]]</f>
        <v>225.51</v>
      </c>
      <c r="G7" t="s">
        <v>27</v>
      </c>
      <c r="H7" s="6">
        <f ca="1">SUMIFS(Operations[Amount],Operations[Month],$B$11,Operations[Category],Incomes_5[[#This Row],[Category]])</f>
        <v>0</v>
      </c>
      <c r="J7" t="s">
        <v>19</v>
      </c>
      <c r="K7" s="6">
        <f ca="1">SUMIFS(Operations[Amount],Operations[Month],$B$11,Operations[Category],Expenses_5[[#This Row],[Category]])</f>
        <v>-50</v>
      </c>
    </row>
    <row r="8" spans="1:11" x14ac:dyDescent="0.25">
      <c r="A8" t="s">
        <v>13</v>
      </c>
      <c r="B8" t="s">
        <v>14</v>
      </c>
      <c r="C8" s="6">
        <f t="shared" ca="1" si="0"/>
        <v>670.5</v>
      </c>
      <c r="D8" s="6">
        <f ca="1">SUMIFS(Operations[Amount],Operations[Bank],Flow_5[[#This Row],[Bank]],Operations[Product],Flow_5[[#This Row],[Product]],Operations[Month],$B$11)</f>
        <v>-80</v>
      </c>
      <c r="E8" s="6">
        <f ca="1">Flow_5[[#This Row],[Opening balance]]+Flow_5[[#This Row],[Operations]]</f>
        <v>590.5</v>
      </c>
      <c r="G8" t="s">
        <v>38</v>
      </c>
      <c r="H8" s="6">
        <f ca="1">SUBTOTAL(109,Incomes_5[Total])</f>
        <v>4500</v>
      </c>
      <c r="J8" t="s">
        <v>24</v>
      </c>
      <c r="K8" s="6">
        <f ca="1">SUMIFS(Operations[Amount],Operations[Month],$B$11,Operations[Category],Expenses_5[[#This Row],[Category]])</f>
        <v>0</v>
      </c>
    </row>
    <row r="9" spans="1:11" x14ac:dyDescent="0.25">
      <c r="A9" t="s">
        <v>38</v>
      </c>
      <c r="C9" s="6">
        <f ca="1">SUBTOTAL(109,Flow_5[Opening balance])</f>
        <v>7732.95</v>
      </c>
      <c r="D9" s="6">
        <f ca="1">SUBTOTAL(109,Flow_5[Operations])</f>
        <v>1290</v>
      </c>
      <c r="E9" s="6">
        <f ca="1">SUBTOTAL(109,Flow_5[Closing balance])</f>
        <v>9022.9500000000007</v>
      </c>
      <c r="J9" t="s">
        <v>23</v>
      </c>
      <c r="K9" s="6">
        <f ca="1">SUMIFS(Operations[Amount],Operations[Month],$B$11,Operations[Category],Expenses_5[[#This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SUMIFS(Operations[Amount],Operations[Month],$B$11,Operations[Category],Expenses_5[[#This Row],[Category]])</f>
        <v>-80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5</v>
      </c>
      <c r="J11" t="s">
        <v>38</v>
      </c>
      <c r="K11" s="6">
        <f ca="1">SUBTOTAL(109,Expenses_5[Total])</f>
        <v>-3210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SUMIFS(Operations[Amount],Operations[Month],$B$11,Operations[Type],Balance_5[[#This Row],[Type]])</f>
        <v>-3210</v>
      </c>
    </row>
    <row r="15" spans="1:11" x14ac:dyDescent="0.25">
      <c r="A15" t="s">
        <v>33</v>
      </c>
      <c r="B15" s="6">
        <f ca="1">SUMIFS(Operations[Amount],Operations[Month],$B$11,Operations[Type],Balance_5[[#This Row],[Type]])</f>
        <v>4500</v>
      </c>
    </row>
    <row r="16" spans="1:11" x14ac:dyDescent="0.25">
      <c r="A16" t="s">
        <v>34</v>
      </c>
      <c r="B16" s="6">
        <f ca="1">SUMIFS(Operations[Amount],Operations[Month],$B$11,Operations[Type],Balance_5[[#This Row],[Type]])</f>
        <v>0</v>
      </c>
    </row>
    <row r="17" spans="1:2" x14ac:dyDescent="0.25">
      <c r="A17" t="s">
        <v>38</v>
      </c>
      <c r="B17" s="6">
        <f ca="1">SUBTOTAL(109,Balance_5[Total])</f>
        <v>1290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0C474-9CD9-4E57-8598-B277E449BB37}">
  <dimension ref="A1:K17"/>
  <sheetViews>
    <sheetView zoomScale="140" zoomScaleNormal="140" workbookViewId="0">
      <selection activeCell="B12" sqref="B12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218.5</v>
      </c>
      <c r="D2" s="6">
        <f ca="1">SUMIFS(Operations[Amount],Operations[Bank],Flow_6[[#This Row],[Bank]],Operations[Product],Flow_6[[#This Row],[Product]],Operations[Month],$B$11)</f>
        <v>250</v>
      </c>
      <c r="E2" s="6">
        <f ca="1">Flow_6[[#This Row],[Opening balance]]+Flow_6[[#This Row],[Operations]]</f>
        <v>468.5</v>
      </c>
      <c r="G2" t="s">
        <v>25</v>
      </c>
      <c r="H2" s="6">
        <f ca="1">SUMIFS(Operations[Amount],Operations[Month],$B$11,Operations[Category],Incomes_6[[#This Row],[Category]])</f>
        <v>400</v>
      </c>
      <c r="J2" t="s">
        <v>18</v>
      </c>
      <c r="K2" s="6">
        <f ca="1">SUMIFS(Operations[Amount],Operations[Month],$B$11,Operations[Category],Expenses_6[[#This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336</v>
      </c>
      <c r="D3" s="6">
        <f ca="1">SUMIFS(Operations[Amount],Operations[Bank],Flow_6[[#This Row],[Bank]],Operations[Product],Flow_6[[#This Row],[Product]],Operations[Month],$B$11)</f>
        <v>0</v>
      </c>
      <c r="E3" s="6">
        <f ca="1">Flow_6[[#This Row],[Opening balance]]+Flow_6[[#This Row],[Operations]]</f>
        <v>336</v>
      </c>
      <c r="G3" t="s">
        <v>28</v>
      </c>
      <c r="H3" s="6">
        <f ca="1">SUMIFS(Operations[Amount],Operations[Month],$B$11,Operations[Category],Incomes_6[[#This Row],[Category]])</f>
        <v>0</v>
      </c>
      <c r="J3" t="s">
        <v>22</v>
      </c>
      <c r="K3" s="6">
        <f ca="1">SUMIFS(Operations[Amount],Operations[Month],$B$11,Operations[Category],Expenses_6[[#This Row],[Category]])</f>
        <v>-300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7452.4400000000005</v>
      </c>
      <c r="D4" s="6">
        <f ca="1">SUMIFS(Operations[Amount],Operations[Bank],Flow_6[[#This Row],[Bank]],Operations[Product],Flow_6[[#This Row],[Product]],Operations[Month],$B$11)</f>
        <v>1420</v>
      </c>
      <c r="E4" s="6">
        <f ca="1">Flow_6[[#This Row],[Opening balance]]+Flow_6[[#This Row],[Operations]]</f>
        <v>8872.44</v>
      </c>
      <c r="G4" t="s">
        <v>29</v>
      </c>
      <c r="H4" s="6">
        <f ca="1">SUMIFS(Operations[Amount],Operations[Month],$B$11,Operations[Category],Incomes_6[[#This Row],[Category]])</f>
        <v>0</v>
      </c>
      <c r="J4" t="s">
        <v>20</v>
      </c>
      <c r="K4" s="6">
        <f ca="1">SUMIFS(Operations[Amount],Operations[Month],$B$11,Operations[Category],Expenses_6[[#This Row],[Category]])</f>
        <v>-200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-1000</v>
      </c>
      <c r="D5" s="6">
        <f ca="1">SUMIFS(Operations[Amount],Operations[Bank],Flow_6[[#This Row],[Bank]],Operations[Product],Flow_6[[#This Row],[Product]],Operations[Month],$B$11)</f>
        <v>-300</v>
      </c>
      <c r="E5" s="6">
        <f ca="1">Flow_6[[#This Row],[Opening balance]]+Flow_6[[#This Row],[Operations]]</f>
        <v>-1300</v>
      </c>
      <c r="G5" t="s">
        <v>30</v>
      </c>
      <c r="H5" s="6">
        <f ca="1">SUMIFS(Operations[Amount],Operations[Month],$B$11,Operations[Category],Incomes_6[[#This Row],[Category]])</f>
        <v>0</v>
      </c>
      <c r="J5" t="s">
        <v>17</v>
      </c>
      <c r="K5" s="6">
        <f ca="1">SUMIFS(Operations[Amount],Operations[Month],$B$11,Operations[Category],Expenses_6[[#This Row],[Category]])</f>
        <v>-1000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1200</v>
      </c>
      <c r="D6" s="6">
        <f ca="1">SUMIFS(Operations[Amount],Operations[Bank],Flow_6[[#This Row],[Bank]],Operations[Product],Flow_6[[#This Row],[Product]],Operations[Month],$B$11)</f>
        <v>0</v>
      </c>
      <c r="E6" s="6">
        <f ca="1">Flow_6[[#This Row],[Opening balance]]+Flow_6[[#This Row],[Operations]]</f>
        <v>1200</v>
      </c>
      <c r="G6" t="s">
        <v>26</v>
      </c>
      <c r="H6" s="6">
        <f ca="1">SUMIFS(Operations[Amount],Operations[Month],$B$11,Operations[Category],Incomes_6[[#This Row],[Category]])</f>
        <v>4500</v>
      </c>
      <c r="J6" t="s">
        <v>21</v>
      </c>
      <c r="K6" s="6">
        <f ca="1">SUMIFS(Operations[Amount],Operations[Month],$B$11,Operations[Category],Expenses_6[[#This Row],[Category]])</f>
        <v>-100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225.51</v>
      </c>
      <c r="D7" s="6">
        <f ca="1">SUMIFS(Operations[Amount],Operations[Bank],Flow_6[[#This Row],[Bank]],Operations[Product],Flow_6[[#This Row],[Product]],Operations[Month],$B$11)</f>
        <v>0</v>
      </c>
      <c r="E7" s="6">
        <f ca="1">Flow_6[[#This Row],[Opening balance]]+Flow_6[[#This Row],[Operations]]</f>
        <v>225.51</v>
      </c>
      <c r="G7" t="s">
        <v>27</v>
      </c>
      <c r="H7" s="6">
        <f ca="1">SUMIFS(Operations[Amount],Operations[Month],$B$11,Operations[Category],Incomes_6[[#This Row],[Category]])</f>
        <v>0</v>
      </c>
      <c r="J7" t="s">
        <v>19</v>
      </c>
      <c r="K7" s="6">
        <f ca="1">SUMIFS(Operations[Amount],Operations[Month],$B$11,Operations[Category],Expenses_6[[#This Row],[Category]])</f>
        <v>-50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590.5</v>
      </c>
      <c r="D8" s="6">
        <f ca="1">SUMIFS(Operations[Amount],Operations[Bank],Flow_6[[#This Row],[Bank]],Operations[Product],Flow_6[[#This Row],[Product]],Operations[Month],$B$11)</f>
        <v>-200</v>
      </c>
      <c r="E8" s="6">
        <f ca="1">Flow_6[[#This Row],[Opening balance]]+Flow_6[[#This Row],[Operations]]</f>
        <v>390.5</v>
      </c>
      <c r="G8" t="s">
        <v>38</v>
      </c>
      <c r="H8" s="6">
        <f ca="1">SUBTOTAL(109,Incomes_6[Total])</f>
        <v>4900</v>
      </c>
      <c r="J8" t="s">
        <v>24</v>
      </c>
      <c r="K8" s="6">
        <f ca="1">SUMIFS(Operations[Amount],Operations[Month],$B$11,Operations[Category],Expenses_6[[#This Row],[Category]])</f>
        <v>0</v>
      </c>
    </row>
    <row r="9" spans="1:11" x14ac:dyDescent="0.25">
      <c r="A9" t="s">
        <v>38</v>
      </c>
      <c r="C9" s="6">
        <f ca="1">SUBTOTAL(109,Flow_6[Opening balance])</f>
        <v>9022.9500000000007</v>
      </c>
      <c r="D9" s="6">
        <f ca="1">SUBTOTAL(109,Flow_6[Operations])</f>
        <v>1170</v>
      </c>
      <c r="E9" s="6">
        <f ca="1">SUBTOTAL(109,Flow_6[Closing balance])</f>
        <v>10192.950000000001</v>
      </c>
      <c r="J9" t="s">
        <v>23</v>
      </c>
      <c r="K9" s="6">
        <f ca="1">SUMIFS(Operations[Amount],Operations[Month],$B$11,Operations[Category],Expenses_6[[#This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SUMIFS(Operations[Amount],Operations[Month],$B$11,Operations[Category],Expenses_6[[#This Row],[Category]])</f>
        <v>-80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6</v>
      </c>
      <c r="J11" t="s">
        <v>38</v>
      </c>
      <c r="K11" s="6">
        <f ca="1">SUBTOTAL(109,Expenses_6[Total])</f>
        <v>-3730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SUMIFS(Operations[Amount],Operations[Month],$B$11,Operations[Type],Balance_6[[#This Row],[Type]])</f>
        <v>-3730</v>
      </c>
    </row>
    <row r="15" spans="1:11" x14ac:dyDescent="0.25">
      <c r="A15" t="s">
        <v>33</v>
      </c>
      <c r="B15" s="6">
        <f ca="1">SUMIFS(Operations[Amount],Operations[Month],$B$11,Operations[Type],Balance_6[[#This Row],[Type]])</f>
        <v>4900</v>
      </c>
    </row>
    <row r="16" spans="1:11" x14ac:dyDescent="0.25">
      <c r="A16" t="s">
        <v>34</v>
      </c>
      <c r="B16" s="6">
        <f ca="1">SUMIFS(Operations[Amount],Operations[Month],$B$11,Operations[Type],Balance_6[[#This Row],[Type]])</f>
        <v>0</v>
      </c>
    </row>
    <row r="17" spans="1:2" x14ac:dyDescent="0.25">
      <c r="A17" t="s">
        <v>38</v>
      </c>
      <c r="B17" s="6">
        <f ca="1">SUBTOTAL(109,Balance_6[Total])</f>
        <v>1170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304C0-AD4A-4528-A522-8B962A01D66A}">
  <dimension ref="A1:K17"/>
  <sheetViews>
    <sheetView zoomScale="140" zoomScaleNormal="140" workbookViewId="0">
      <selection activeCell="B12" sqref="B12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468.5</v>
      </c>
      <c r="D2" s="6">
        <f ca="1">SUMIFS(Operations[Amount],Operations[Bank],Flow_7[[#This Row],[Bank]],Operations[Product],Flow_7[[#This Row],[Product]],Operations[Month],$B$11)</f>
        <v>-100</v>
      </c>
      <c r="E2" s="6">
        <f ca="1">Flow_7[[#This Row],[Opening balance]]+Flow_7[[#This Row],[Operations]]</f>
        <v>368.5</v>
      </c>
      <c r="G2" t="s">
        <v>25</v>
      </c>
      <c r="H2" s="6">
        <f ca="1">SUMIFS(Operations[Amount],Operations[Month],$B$11,Operations[Category],Incomes_7[[#This Row],[Category]])</f>
        <v>0</v>
      </c>
      <c r="J2" t="s">
        <v>18</v>
      </c>
      <c r="K2" s="6">
        <f ca="1">SUMIFS(Operations[Amount],Operations[Month],$B$11,Operations[Category],Expenses_7[[#This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336</v>
      </c>
      <c r="D3" s="6">
        <f ca="1">SUMIFS(Operations[Amount],Operations[Bank],Flow_7[[#This Row],[Bank]],Operations[Product],Flow_7[[#This Row],[Product]],Operations[Month],$B$11)</f>
        <v>1050</v>
      </c>
      <c r="E3" s="6">
        <f ca="1">Flow_7[[#This Row],[Opening balance]]+Flow_7[[#This Row],[Operations]]</f>
        <v>1386</v>
      </c>
      <c r="G3" t="s">
        <v>28</v>
      </c>
      <c r="H3" s="6">
        <f ca="1">SUMIFS(Operations[Amount],Operations[Month],$B$11,Operations[Category],Incomes_7[[#This Row],[Category]])</f>
        <v>120</v>
      </c>
      <c r="J3" t="s">
        <v>22</v>
      </c>
      <c r="K3" s="6">
        <f ca="1">SUMIFS(Operations[Amount],Operations[Month],$B$11,Operations[Category],Expenses_7[[#This Row],[Category]])</f>
        <v>250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8872.44</v>
      </c>
      <c r="D4" s="6">
        <f ca="1">SUMIFS(Operations[Amount],Operations[Bank],Flow_7[[#This Row],[Bank]],Operations[Product],Flow_7[[#This Row],[Product]],Operations[Month],$B$11)</f>
        <v>1010</v>
      </c>
      <c r="E4" s="6">
        <f ca="1">Flow_7[[#This Row],[Opening balance]]+Flow_7[[#This Row],[Operations]]</f>
        <v>9882.44</v>
      </c>
      <c r="G4" t="s">
        <v>29</v>
      </c>
      <c r="H4" s="6">
        <f ca="1">SUMIFS(Operations[Amount],Operations[Month],$B$11,Operations[Category],Incomes_7[[#This Row],[Category]])</f>
        <v>800</v>
      </c>
      <c r="J4" t="s">
        <v>20</v>
      </c>
      <c r="K4" s="6">
        <f ca="1">SUMIFS(Operations[Amount],Operations[Month],$B$11,Operations[Category],Expenses_7[[#This Row],[Category]])</f>
        <v>-700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-1300</v>
      </c>
      <c r="D5" s="6">
        <f ca="1">SUMIFS(Operations[Amount],Operations[Bank],Flow_7[[#This Row],[Bank]],Operations[Product],Flow_7[[#This Row],[Product]],Operations[Month],$B$11)</f>
        <v>1165</v>
      </c>
      <c r="E5" s="6">
        <f ca="1">Flow_7[[#This Row],[Opening balance]]+Flow_7[[#This Row],[Operations]]</f>
        <v>-135</v>
      </c>
      <c r="G5" t="s">
        <v>30</v>
      </c>
      <c r="H5" s="6">
        <f ca="1">SUMIFS(Operations[Amount],Operations[Month],$B$11,Operations[Category],Incomes_7[[#This Row],[Category]])</f>
        <v>0</v>
      </c>
      <c r="J5" t="s">
        <v>17</v>
      </c>
      <c r="K5" s="6">
        <f ca="1">SUMIFS(Operations[Amount],Operations[Month],$B$11,Operations[Category],Expenses_7[[#This Row],[Category]])</f>
        <v>-165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1200</v>
      </c>
      <c r="D6" s="6">
        <f ca="1">SUMIFS(Operations[Amount],Operations[Bank],Flow_7[[#This Row],[Bank]],Operations[Product],Flow_7[[#This Row],[Product]],Operations[Month],$B$11)</f>
        <v>-180</v>
      </c>
      <c r="E6" s="6">
        <f ca="1">Flow_7[[#This Row],[Opening balance]]+Flow_7[[#This Row],[Operations]]</f>
        <v>1020</v>
      </c>
      <c r="G6" t="s">
        <v>26</v>
      </c>
      <c r="H6" s="6">
        <f ca="1">SUMIFS(Operations[Amount],Operations[Month],$B$11,Operations[Category],Incomes_7[[#This Row],[Category]])</f>
        <v>4500</v>
      </c>
      <c r="J6" t="s">
        <v>21</v>
      </c>
      <c r="K6" s="6">
        <f ca="1">SUMIFS(Operations[Amount],Operations[Month],$B$11,Operations[Category],Expenses_7[[#This Row],[Category]])</f>
        <v>-300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225.51</v>
      </c>
      <c r="D7" s="6">
        <f ca="1">SUMIFS(Operations[Amount],Operations[Bank],Flow_7[[#This Row],[Bank]],Operations[Product],Flow_7[[#This Row],[Product]],Operations[Month],$B$11)</f>
        <v>-30</v>
      </c>
      <c r="E7" s="6">
        <f ca="1">Flow_7[[#This Row],[Opening balance]]+Flow_7[[#This Row],[Operations]]</f>
        <v>195.51</v>
      </c>
      <c r="G7" t="s">
        <v>27</v>
      </c>
      <c r="H7" s="6">
        <f ca="1">SUMIFS(Operations[Amount],Operations[Month],$B$11,Operations[Category],Incomes_7[[#This Row],[Category]])</f>
        <v>500</v>
      </c>
      <c r="J7" t="s">
        <v>19</v>
      </c>
      <c r="K7" s="6">
        <f ca="1">SUMIFS(Operations[Amount],Operations[Month],$B$11,Operations[Category],Expenses_7[[#This Row],[Category]])</f>
        <v>0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390.5</v>
      </c>
      <c r="D8" s="6">
        <f ca="1">SUMIFS(Operations[Amount],Operations[Bank],Flow_7[[#This Row],[Bank]],Operations[Product],Flow_7[[#This Row],[Product]],Operations[Month],$B$11)</f>
        <v>0</v>
      </c>
      <c r="E8" s="6">
        <f ca="1">Flow_7[[#This Row],[Opening balance]]+Flow_7[[#This Row],[Operations]]</f>
        <v>390.5</v>
      </c>
      <c r="G8" t="s">
        <v>38</v>
      </c>
      <c r="H8" s="6">
        <f ca="1">SUBTOTAL(109,Incomes_7[Total])</f>
        <v>5920</v>
      </c>
      <c r="J8" t="s">
        <v>24</v>
      </c>
      <c r="K8" s="6">
        <f ca="1">SUMIFS(Operations[Amount],Operations[Month],$B$11,Operations[Category],Expenses_7[[#This Row],[Category]])</f>
        <v>0</v>
      </c>
    </row>
    <row r="9" spans="1:11" x14ac:dyDescent="0.25">
      <c r="A9" t="s">
        <v>38</v>
      </c>
      <c r="C9" s="6">
        <f ca="1">SUBTOTAL(109,Flow_7[Opening balance])</f>
        <v>10192.950000000001</v>
      </c>
      <c r="D9" s="6">
        <f ca="1">SUBTOTAL(109,Flow_7[Operations])</f>
        <v>2915</v>
      </c>
      <c r="E9" s="6">
        <f ca="1">SUBTOTAL(109,Flow_7[Closing balance])</f>
        <v>13107.95</v>
      </c>
      <c r="J9" t="s">
        <v>23</v>
      </c>
      <c r="K9" s="6">
        <f ca="1">SUMIFS(Operations[Amount],Operations[Month],$B$11,Operations[Category],Expenses_7[[#This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SUMIFS(Operations[Amount],Operations[Month],$B$11,Operations[Category],Expenses_7[[#This Row],[Category]])</f>
        <v>-90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7</v>
      </c>
      <c r="J11" t="s">
        <v>38</v>
      </c>
      <c r="K11" s="6">
        <f ca="1">SUBTOTAL(109,Expenses_7[Total])</f>
        <v>-3005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SUMIFS(Operations[Amount],Operations[Month],$B$11,Operations[Type],Balance_7[[#This Row],[Type]])</f>
        <v>-3005</v>
      </c>
    </row>
    <row r="15" spans="1:11" x14ac:dyDescent="0.25">
      <c r="A15" t="s">
        <v>33</v>
      </c>
      <c r="B15" s="6">
        <f ca="1">SUMIFS(Operations[Amount],Operations[Month],$B$11,Operations[Type],Balance_7[[#This Row],[Type]])</f>
        <v>5920</v>
      </c>
    </row>
    <row r="16" spans="1:11" x14ac:dyDescent="0.25">
      <c r="A16" t="s">
        <v>34</v>
      </c>
      <c r="B16" s="6">
        <f ca="1">SUMIFS(Operations[Amount],Operations[Month],$B$11,Operations[Type],Balance_7[[#This Row],[Type]])</f>
        <v>0</v>
      </c>
    </row>
    <row r="17" spans="1:2" x14ac:dyDescent="0.25">
      <c r="A17" t="s">
        <v>38</v>
      </c>
      <c r="B17" s="6">
        <f ca="1">SUBTOTAL(109,Balance_7[Total])</f>
        <v>2915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51332-0E06-4C18-AD1E-3228839EE872}">
  <dimension ref="A1:K17"/>
  <sheetViews>
    <sheetView zoomScale="140" zoomScaleNormal="140" workbookViewId="0">
      <selection activeCell="D12" sqref="D12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>
        <f t="shared" ref="C2:C8" ca="1" si="0">INDIRECT("Flow_"&amp;$B$11-1&amp;"[@[Closing balance]]")</f>
        <v>368.5</v>
      </c>
      <c r="D2" s="6">
        <f ca="1">SUMIFS(Operations[Amount],Operations[Bank],Flow_8[[#This Row],[Bank]],Operations[Product],Flow_8[[#This Row],[Product]],Operations[Month],$B$11)</f>
        <v>200</v>
      </c>
      <c r="E2" s="6">
        <f ca="1">Flow_8[[#This Row],[Opening balance]]+Flow_8[[#This Row],[Operations]]</f>
        <v>568.5</v>
      </c>
      <c r="G2" t="s">
        <v>25</v>
      </c>
      <c r="H2" s="6">
        <f ca="1">SUMIFS(Operations[Amount],Operations[Month],$B$11,Operations[Category],Incomes_8[[#This Row],[Category]])</f>
        <v>0</v>
      </c>
      <c r="J2" t="s">
        <v>18</v>
      </c>
      <c r="K2" s="6">
        <f ca="1">SUMIFS(Operations[Amount],Operations[Month],$B$11,Operations[Category],Expenses_8[[#This Row],[Category]])</f>
        <v>-2000</v>
      </c>
    </row>
    <row r="3" spans="1:11" x14ac:dyDescent="0.25">
      <c r="A3" t="s">
        <v>11</v>
      </c>
      <c r="B3" t="s">
        <v>12</v>
      </c>
      <c r="C3" s="6">
        <f t="shared" ca="1" si="0"/>
        <v>1386</v>
      </c>
      <c r="D3" s="6">
        <f ca="1">SUMIFS(Operations[Amount],Operations[Bank],Flow_8[[#This Row],[Bank]],Operations[Product],Flow_8[[#This Row],[Product]],Operations[Month],$B$11)</f>
        <v>-300</v>
      </c>
      <c r="E3" s="6">
        <f ca="1">Flow_8[[#This Row],[Opening balance]]+Flow_8[[#This Row],[Operations]]</f>
        <v>1086</v>
      </c>
      <c r="G3" t="s">
        <v>28</v>
      </c>
      <c r="H3" s="6">
        <f ca="1">SUMIFS(Operations[Amount],Operations[Month],$B$11,Operations[Category],Incomes_8[[#This Row],[Category]])</f>
        <v>0</v>
      </c>
      <c r="J3" t="s">
        <v>22</v>
      </c>
      <c r="K3" s="6">
        <f ca="1">SUMIFS(Operations[Amount],Operations[Month],$B$11,Operations[Category],Expenses_8[[#This Row],[Category]])</f>
        <v>-300</v>
      </c>
    </row>
    <row r="4" spans="1:11" x14ac:dyDescent="0.25">
      <c r="A4" t="s">
        <v>7</v>
      </c>
      <c r="B4" t="s">
        <v>8</v>
      </c>
      <c r="C4" s="6">
        <f t="shared" ca="1" si="0"/>
        <v>9882.44</v>
      </c>
      <c r="D4" s="6">
        <f ca="1">SUMIFS(Operations[Amount],Operations[Bank],Flow_8[[#This Row],[Bank]],Operations[Product],Flow_8[[#This Row],[Product]],Operations[Month],$B$11)</f>
        <v>1475</v>
      </c>
      <c r="E4" s="6">
        <f ca="1">Flow_8[[#This Row],[Opening balance]]+Flow_8[[#This Row],[Operations]]</f>
        <v>11357.44</v>
      </c>
      <c r="G4" t="s">
        <v>29</v>
      </c>
      <c r="H4" s="6">
        <f ca="1">SUMIFS(Operations[Amount],Operations[Month],$B$11,Operations[Category],Incomes_8[[#This Row],[Category]])</f>
        <v>400</v>
      </c>
      <c r="J4" t="s">
        <v>20</v>
      </c>
      <c r="K4" s="6">
        <f ca="1">SUMIFS(Operations[Amount],Operations[Month],$B$11,Operations[Category],Expenses_8[[#This Row],[Category]])</f>
        <v>-250</v>
      </c>
    </row>
    <row r="5" spans="1:11" x14ac:dyDescent="0.25">
      <c r="A5" t="s">
        <v>7</v>
      </c>
      <c r="B5" t="s">
        <v>9</v>
      </c>
      <c r="C5" s="6">
        <f t="shared" ca="1" si="0"/>
        <v>-135</v>
      </c>
      <c r="D5" s="6">
        <f ca="1">SUMIFS(Operations[Amount],Operations[Bank],Flow_8[[#This Row],[Bank]],Operations[Product],Flow_8[[#This Row],[Product]],Operations[Month],$B$11)</f>
        <v>33</v>
      </c>
      <c r="E5" s="6">
        <f ca="1">Flow_8[[#This Row],[Opening balance]]+Flow_8[[#This Row],[Operations]]</f>
        <v>-102</v>
      </c>
      <c r="G5" t="s">
        <v>30</v>
      </c>
      <c r="H5" s="6">
        <f ca="1">SUMIFS(Operations[Amount],Operations[Month],$B$11,Operations[Category],Incomes_8[[#This Row],[Category]])</f>
        <v>0</v>
      </c>
      <c r="J5" t="s">
        <v>17</v>
      </c>
      <c r="K5" s="6">
        <f ca="1">SUMIFS(Operations[Amount],Operations[Month],$B$11,Operations[Category],Expenses_8[[#This Row],[Category]])</f>
        <v>-749.5</v>
      </c>
    </row>
    <row r="6" spans="1:11" x14ac:dyDescent="0.25">
      <c r="A6" t="s">
        <v>7</v>
      </c>
      <c r="B6" t="s">
        <v>10</v>
      </c>
      <c r="C6" s="6">
        <f t="shared" ca="1" si="0"/>
        <v>1020</v>
      </c>
      <c r="D6" s="6">
        <f ca="1">SUMIFS(Operations[Amount],Operations[Bank],Flow_8[[#This Row],[Bank]],Operations[Product],Flow_8[[#This Row],[Product]],Operations[Month],$B$11)</f>
        <v>-1020</v>
      </c>
      <c r="E6" s="6">
        <f ca="1">Flow_8[[#This Row],[Opening balance]]+Flow_8[[#This Row],[Operations]]</f>
        <v>0</v>
      </c>
      <c r="G6" t="s">
        <v>26</v>
      </c>
      <c r="H6" s="6">
        <f ca="1">SUMIFS(Operations[Amount],Operations[Month],$B$11,Operations[Category],Incomes_8[[#This Row],[Category]])</f>
        <v>4500</v>
      </c>
      <c r="J6" t="s">
        <v>21</v>
      </c>
      <c r="K6" s="6">
        <f ca="1">SUMIFS(Operations[Amount],Operations[Month],$B$11,Operations[Category],Expenses_8[[#This Row],[Category]])</f>
        <v>-400</v>
      </c>
    </row>
    <row r="7" spans="1:11" x14ac:dyDescent="0.25">
      <c r="A7" t="s">
        <v>13</v>
      </c>
      <c r="B7" t="s">
        <v>15</v>
      </c>
      <c r="C7" s="6">
        <f t="shared" ca="1" si="0"/>
        <v>195.51</v>
      </c>
      <c r="D7" s="6">
        <f ca="1">SUMIFS(Operations[Amount],Operations[Bank],Flow_8[[#This Row],[Bank]],Operations[Product],Flow_8[[#This Row],[Product]],Operations[Month],$B$11)</f>
        <v>0</v>
      </c>
      <c r="E7" s="6">
        <f ca="1">Flow_8[[#This Row],[Opening balance]]+Flow_8[[#This Row],[Operations]]</f>
        <v>195.51</v>
      </c>
      <c r="G7" t="s">
        <v>27</v>
      </c>
      <c r="H7" s="6">
        <f ca="1">SUMIFS(Operations[Amount],Operations[Month],$B$11,Operations[Category],Incomes_8[[#This Row],[Category]])</f>
        <v>500</v>
      </c>
      <c r="J7" t="s">
        <v>19</v>
      </c>
      <c r="K7" s="6">
        <f ca="1">SUMIFS(Operations[Amount],Operations[Month],$B$11,Operations[Category],Expenses_8[[#This Row],[Category]])</f>
        <v>0</v>
      </c>
    </row>
    <row r="8" spans="1:11" x14ac:dyDescent="0.25">
      <c r="A8" t="s">
        <v>13</v>
      </c>
      <c r="B8" t="s">
        <v>14</v>
      </c>
      <c r="C8" s="6">
        <f t="shared" ca="1" si="0"/>
        <v>390.5</v>
      </c>
      <c r="D8" s="6">
        <f ca="1">SUMIFS(Operations[Amount],Operations[Bank],Flow_8[[#This Row],[Bank]],Operations[Product],Flow_8[[#This Row],[Product]],Operations[Month],$B$11)</f>
        <v>2.5</v>
      </c>
      <c r="E8" s="6">
        <f ca="1">Flow_8[[#This Row],[Opening balance]]+Flow_8[[#This Row],[Operations]]</f>
        <v>393</v>
      </c>
      <c r="G8" t="s">
        <v>38</v>
      </c>
      <c r="H8" s="6">
        <f ca="1">SUBTOTAL(109,Incomes_8[Total])</f>
        <v>5400</v>
      </c>
      <c r="J8" t="s">
        <v>24</v>
      </c>
      <c r="K8" s="6">
        <f ca="1">SUMIFS(Operations[Amount],Operations[Month],$B$11,Operations[Category],Expenses_8[[#This Row],[Category]])</f>
        <v>0</v>
      </c>
    </row>
    <row r="9" spans="1:11" x14ac:dyDescent="0.25">
      <c r="A9" t="s">
        <v>38</v>
      </c>
      <c r="C9" s="6">
        <f ca="1">SUBTOTAL(109,Flow_8[Opening balance])</f>
        <v>13107.95</v>
      </c>
      <c r="D9" s="6">
        <f ca="1">SUBTOTAL(109,Flow_8[Operations])</f>
        <v>390.5</v>
      </c>
      <c r="E9" s="6">
        <f ca="1">SUBTOTAL(109,Flow_8[Closing balance])</f>
        <v>13498.45</v>
      </c>
      <c r="J9" t="s">
        <v>23</v>
      </c>
      <c r="K9" s="6">
        <f ca="1">SUMIFS(Operations[Amount],Operations[Month],$B$11,Operations[Category],Expenses_8[[#This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SUMIFS(Operations[Amount],Operations[Month],$B$11,Operations[Category],Expenses_8[[#This Row],[Category]])</f>
        <v>-290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8</v>
      </c>
      <c r="J11" t="s">
        <v>38</v>
      </c>
      <c r="K11" s="6">
        <f ca="1">SUBTOTAL(109,Expenses_8[Total])</f>
        <v>-3989.5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SUMIFS(Operations[Amount],Operations[Month],$B$11,Operations[Type],Balance_8[[#This Row],[Type]])</f>
        <v>-3989.5</v>
      </c>
    </row>
    <row r="15" spans="1:11" x14ac:dyDescent="0.25">
      <c r="A15" t="s">
        <v>33</v>
      </c>
      <c r="B15" s="6">
        <f ca="1">SUMIFS(Operations[Amount],Operations[Month],$B$11,Operations[Type],Balance_8[[#This Row],[Type]])</f>
        <v>5400</v>
      </c>
    </row>
    <row r="16" spans="1:11" x14ac:dyDescent="0.25">
      <c r="A16" t="s">
        <v>34</v>
      </c>
      <c r="B16" s="6">
        <f ca="1">SUMIFS(Operations[Amount],Operations[Month],$B$11,Operations[Type],Balance_8[[#This Row],[Type]])</f>
        <v>-1020</v>
      </c>
    </row>
    <row r="17" spans="1:2" x14ac:dyDescent="0.25">
      <c r="A17" t="s">
        <v>38</v>
      </c>
      <c r="B17" s="6">
        <f ca="1">SUBTOTAL(109,Balance_8[Total])</f>
        <v>390.5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EEA00-13E5-4B0F-86A3-C611BD5DEE94}">
  <dimension ref="A1:K17"/>
  <sheetViews>
    <sheetView zoomScale="140" zoomScaleNormal="140" workbookViewId="0">
      <selection activeCell="B11" sqref="B11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568.5</v>
      </c>
      <c r="D2" s="6">
        <f ca="1">SUMIFS(Operations[Amount],Operations[Bank],Flow_9[[#This Row],[Bank]],Operations[Product],Flow_9[[#This Row],[Product]],Operations[Month],$B$11)</f>
        <v>-20</v>
      </c>
      <c r="E2" s="6">
        <f ca="1">Flow_9[[#This Row],[Opening balance]]+Flow_9[[#This Row],[Operations]]</f>
        <v>548.5</v>
      </c>
      <c r="G2" t="s">
        <v>25</v>
      </c>
      <c r="H2" s="6">
        <f ca="1">SUMIFS(Operations[Amount],Operations[Month],$B$11,Operations[Category],Incomes_9[[#This Row],[Category]])</f>
        <v>0</v>
      </c>
      <c r="J2" t="s">
        <v>18</v>
      </c>
      <c r="K2" s="6">
        <f ca="1">SUMIFS(Operations[Amount],Operations[Month],$B$11,Operations[Category],Expenses_9[[#This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1086</v>
      </c>
      <c r="D3" s="6">
        <f ca="1">SUMIFS(Operations[Amount],Operations[Bank],Flow_9[[#This Row],[Bank]],Operations[Product],Flow_9[[#This Row],[Product]],Operations[Month],$B$11)</f>
        <v>0</v>
      </c>
      <c r="E3" s="6">
        <f ca="1">Flow_9[[#This Row],[Opening balance]]+Flow_9[[#This Row],[Operations]]</f>
        <v>1086</v>
      </c>
      <c r="G3" t="s">
        <v>28</v>
      </c>
      <c r="H3" s="6">
        <f ca="1">SUMIFS(Operations[Amount],Operations[Month],$B$11,Operations[Category],Incomes_9[[#This Row],[Category]])</f>
        <v>0</v>
      </c>
      <c r="J3" t="s">
        <v>22</v>
      </c>
      <c r="K3" s="6">
        <f ca="1">SUMIFS(Operations[Amount],Operations[Month],$B$11,Operations[Category],Expenses_9[[#This Row],[Category]])</f>
        <v>0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11357.44</v>
      </c>
      <c r="D4" s="6">
        <f ca="1">SUMIFS(Operations[Amount],Operations[Bank],Flow_9[[#This Row],[Bank]],Operations[Product],Flow_9[[#This Row],[Product]],Operations[Month],$B$11)</f>
        <v>1689.5</v>
      </c>
      <c r="E4" s="6">
        <f ca="1">Flow_9[[#This Row],[Opening balance]]+Flow_9[[#This Row],[Operations]]</f>
        <v>13046.94</v>
      </c>
      <c r="G4" t="s">
        <v>29</v>
      </c>
      <c r="H4" s="6">
        <f ca="1">SUMIFS(Operations[Amount],Operations[Month],$B$11,Operations[Category],Incomes_9[[#This Row],[Category]])</f>
        <v>0</v>
      </c>
      <c r="J4" t="s">
        <v>20</v>
      </c>
      <c r="K4" s="6">
        <f ca="1">SUMIFS(Operations[Amount],Operations[Month],$B$11,Operations[Category],Expenses_9[[#This Row],[Category]])</f>
        <v>-20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-102</v>
      </c>
      <c r="D5" s="6">
        <f ca="1">SUMIFS(Operations[Amount],Operations[Bank],Flow_9[[#This Row],[Bank]],Operations[Product],Flow_9[[#This Row],[Product]],Operations[Month],$B$11)</f>
        <v>82</v>
      </c>
      <c r="E5" s="6">
        <f ca="1">Flow_9[[#This Row],[Opening balance]]+Flow_9[[#This Row],[Operations]]</f>
        <v>-20</v>
      </c>
      <c r="G5" t="s">
        <v>30</v>
      </c>
      <c r="H5" s="6">
        <f ca="1">SUMIFS(Operations[Amount],Operations[Month],$B$11,Operations[Category],Incomes_9[[#This Row],[Category]])</f>
        <v>0</v>
      </c>
      <c r="J5" t="s">
        <v>17</v>
      </c>
      <c r="K5" s="6">
        <f ca="1">SUMIFS(Operations[Amount],Operations[Month],$B$11,Operations[Category],Expenses_9[[#This Row],[Category]])</f>
        <v>-538.5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0</v>
      </c>
      <c r="D6" s="6">
        <f ca="1">SUMIFS(Operations[Amount],Operations[Bank],Flow_9[[#This Row],[Bank]],Operations[Product],Flow_9[[#This Row],[Product]],Operations[Month],$B$11)</f>
        <v>0</v>
      </c>
      <c r="E6" s="6">
        <f ca="1">Flow_9[[#This Row],[Opening balance]]+Flow_9[[#This Row],[Operations]]</f>
        <v>0</v>
      </c>
      <c r="G6" t="s">
        <v>26</v>
      </c>
      <c r="H6" s="6">
        <f ca="1">SUMIFS(Operations[Amount],Operations[Month],$B$11,Operations[Category],Incomes_9[[#This Row],[Category]])</f>
        <v>4500</v>
      </c>
      <c r="J6" t="s">
        <v>21</v>
      </c>
      <c r="K6" s="6">
        <f ca="1">SUMIFS(Operations[Amount],Operations[Month],$B$11,Operations[Category],Expenses_9[[#This Row],[Category]])</f>
        <v>0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195.51</v>
      </c>
      <c r="D7" s="6">
        <f ca="1">SUMIFS(Operations[Amount],Operations[Bank],Flow_9[[#This Row],[Bank]],Operations[Product],Flow_9[[#This Row],[Product]],Operations[Month],$B$11)</f>
        <v>0</v>
      </c>
      <c r="E7" s="6">
        <f ca="1">Flow_9[[#This Row],[Opening balance]]+Flow_9[[#This Row],[Operations]]</f>
        <v>195.51</v>
      </c>
      <c r="G7" t="s">
        <v>27</v>
      </c>
      <c r="H7" s="6">
        <f ca="1">SUMIFS(Operations[Amount],Operations[Month],$B$11,Operations[Category],Incomes_9[[#This Row],[Category]])</f>
        <v>0</v>
      </c>
      <c r="J7" t="s">
        <v>19</v>
      </c>
      <c r="K7" s="6">
        <f ca="1">SUMIFS(Operations[Amount],Operations[Month],$B$11,Operations[Category],Expenses_9[[#This Row],[Category]])</f>
        <v>-40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393</v>
      </c>
      <c r="D8" s="6">
        <f ca="1">SUMIFS(Operations[Amount],Operations[Bank],Flow_9[[#This Row],[Bank]],Operations[Product],Flow_9[[#This Row],[Product]],Operations[Month],$B$11)</f>
        <v>0</v>
      </c>
      <c r="E8" s="6">
        <f ca="1">Flow_9[[#This Row],[Opening balance]]+Flow_9[[#This Row],[Operations]]</f>
        <v>393</v>
      </c>
      <c r="G8" t="s">
        <v>38</v>
      </c>
      <c r="H8" s="6">
        <f ca="1">SUBTOTAL(109,Incomes_9[Total])</f>
        <v>4500</v>
      </c>
      <c r="J8" t="s">
        <v>24</v>
      </c>
      <c r="K8" s="6">
        <f ca="1">SUMIFS(Operations[Amount],Operations[Month],$B$11,Operations[Category],Expenses_9[[#This Row],[Category]])</f>
        <v>0</v>
      </c>
    </row>
    <row r="9" spans="1:11" x14ac:dyDescent="0.25">
      <c r="A9" t="s">
        <v>38</v>
      </c>
      <c r="C9" s="6">
        <f ca="1">SUBTOTAL(109,Flow_9[Opening balance])</f>
        <v>13498.45</v>
      </c>
      <c r="D9" s="6">
        <f ca="1">SUBTOTAL(109,Flow_9[Operations])</f>
        <v>1751.5</v>
      </c>
      <c r="E9" s="6">
        <f ca="1">SUBTOTAL(109,Flow_9[Closing balance])</f>
        <v>15249.95</v>
      </c>
      <c r="J9" t="s">
        <v>23</v>
      </c>
      <c r="K9" s="6">
        <f ca="1">SUMIFS(Operations[Amount],Operations[Month],$B$11,Operations[Category],Expenses_9[[#This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SUMIFS(Operations[Amount],Operations[Month],$B$11,Operations[Category],Expenses_9[[#This Row],[Category]])</f>
        <v>-150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9</v>
      </c>
      <c r="J11" t="s">
        <v>38</v>
      </c>
      <c r="K11" s="6">
        <f ca="1">SUBTOTAL(109,Expenses_9[Total])</f>
        <v>-2748.5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SUMIFS(Operations[Amount],Operations[Month],$B$11,Operations[Type],Balance_9[[#This Row],[Type]])</f>
        <v>-2748.5</v>
      </c>
    </row>
    <row r="15" spans="1:11" x14ac:dyDescent="0.25">
      <c r="A15" t="s">
        <v>33</v>
      </c>
      <c r="B15" s="6">
        <f ca="1">SUMIFS(Operations[Amount],Operations[Month],$B$11,Operations[Type],Balance_9[[#This Row],[Type]])</f>
        <v>4500</v>
      </c>
    </row>
    <row r="16" spans="1:11" x14ac:dyDescent="0.25">
      <c r="A16" t="s">
        <v>34</v>
      </c>
      <c r="B16" s="6">
        <f ca="1">SUMIFS(Operations[Amount],Operations[Month],$B$11,Operations[Type],Balance_9[[#This Row],[Type]])</f>
        <v>0</v>
      </c>
    </row>
    <row r="17" spans="1:2" x14ac:dyDescent="0.25">
      <c r="A17" t="s">
        <v>38</v>
      </c>
      <c r="B17" s="6">
        <f ca="1">SUBTOTAL(109,Balance_9[Total])</f>
        <v>1751.5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8E853-8252-48B3-A0D6-8BF088676EC2}">
  <dimension ref="A1:K17"/>
  <sheetViews>
    <sheetView zoomScale="140" zoomScaleNormal="140" workbookViewId="0">
      <selection activeCell="D13" sqref="D13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548.5</v>
      </c>
      <c r="D2" s="6">
        <f ca="1">SUMIFS(Operations[Amount],Operations[Bank],Flow_10[[#This Row],[Bank]],Operations[Product],Flow_10[[#This Row],[Product]],Operations[Month],$B$11)</f>
        <v>0</v>
      </c>
      <c r="E2" s="6">
        <f ca="1">Flow_10[[#This Row],[Opening balance]]+Flow_10[[#This Row],[Operations]]</f>
        <v>548.5</v>
      </c>
      <c r="G2" t="s">
        <v>25</v>
      </c>
      <c r="H2" s="6">
        <f ca="1">SUMIFS(Operations[Amount],Operations[Month],$B$11,Operations[Category],Incomes_10[[#This Row],[Category]])</f>
        <v>0</v>
      </c>
      <c r="J2" t="s">
        <v>18</v>
      </c>
      <c r="K2" s="6">
        <f ca="1">SUMIFS(Operations[Amount],Operations[Month],$B$11,Operations[Category],Expenses_10[[#This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1086</v>
      </c>
      <c r="D3" s="6">
        <f ca="1">SUMIFS(Operations[Amount],Operations[Bank],Flow_10[[#This Row],[Bank]],Operations[Product],Flow_10[[#This Row],[Product]],Operations[Month],$B$11)</f>
        <v>0</v>
      </c>
      <c r="E3" s="6">
        <f ca="1">Flow_10[[#This Row],[Opening balance]]+Flow_10[[#This Row],[Operations]]</f>
        <v>1086</v>
      </c>
      <c r="G3" t="s">
        <v>28</v>
      </c>
      <c r="H3" s="6">
        <f ca="1">SUMIFS(Operations[Amount],Operations[Month],$B$11,Operations[Category],Incomes_10[[#This Row],[Category]])</f>
        <v>0</v>
      </c>
      <c r="J3" t="s">
        <v>22</v>
      </c>
      <c r="K3" s="6">
        <f ca="1">SUMIFS(Operations[Amount],Operations[Month],$B$11,Operations[Category],Expenses_10[[#This Row],[Category]])</f>
        <v>0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13046.94</v>
      </c>
      <c r="D4" s="6">
        <f ca="1">SUMIFS(Operations[Amount],Operations[Bank],Flow_10[[#This Row],[Bank]],Operations[Product],Flow_10[[#This Row],[Product]],Operations[Month],$B$11)</f>
        <v>1690</v>
      </c>
      <c r="E4" s="6">
        <f ca="1">Flow_10[[#This Row],[Opening balance]]+Flow_10[[#This Row],[Operations]]</f>
        <v>14736.94</v>
      </c>
      <c r="G4" t="s">
        <v>29</v>
      </c>
      <c r="H4" s="6">
        <f ca="1">SUMIFS(Operations[Amount],Operations[Month],$B$11,Operations[Category],Incomes_10[[#This Row],[Category]])</f>
        <v>0</v>
      </c>
      <c r="J4" t="s">
        <v>20</v>
      </c>
      <c r="K4" s="6">
        <f ca="1">SUMIFS(Operations[Amount],Operations[Month],$B$11,Operations[Category],Expenses_10[[#This Row],[Category]])</f>
        <v>-40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-20</v>
      </c>
      <c r="D5" s="6">
        <f ca="1">SUMIFS(Operations[Amount],Operations[Bank],Flow_10[[#This Row],[Bank]],Operations[Product],Flow_10[[#This Row],[Product]],Operations[Month],$B$11)</f>
        <v>-20</v>
      </c>
      <c r="E5" s="6">
        <f ca="1">Flow_10[[#This Row],[Opening balance]]+Flow_10[[#This Row],[Operations]]</f>
        <v>-40</v>
      </c>
      <c r="G5" t="s">
        <v>30</v>
      </c>
      <c r="H5" s="6">
        <f ca="1">SUMIFS(Operations[Amount],Operations[Month],$B$11,Operations[Category],Incomes_10[[#This Row],[Category]])</f>
        <v>0</v>
      </c>
      <c r="J5" t="s">
        <v>17</v>
      </c>
      <c r="K5" s="6">
        <f ca="1">SUMIFS(Operations[Amount],Operations[Month],$B$11,Operations[Category],Expenses_10[[#This Row],[Category]])</f>
        <v>-600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0</v>
      </c>
      <c r="D6" s="6">
        <f ca="1">SUMIFS(Operations[Amount],Operations[Bank],Flow_10[[#This Row],[Bank]],Operations[Product],Flow_10[[#This Row],[Product]],Operations[Month],$B$11)</f>
        <v>0</v>
      </c>
      <c r="E6" s="6">
        <f ca="1">Flow_10[[#This Row],[Opening balance]]+Flow_10[[#This Row],[Operations]]</f>
        <v>0</v>
      </c>
      <c r="G6" t="s">
        <v>26</v>
      </c>
      <c r="H6" s="6">
        <f ca="1">SUMIFS(Operations[Amount],Operations[Month],$B$11,Operations[Category],Incomes_10[[#This Row],[Category]])</f>
        <v>4500</v>
      </c>
      <c r="J6" t="s">
        <v>21</v>
      </c>
      <c r="K6" s="6">
        <f ca="1">SUMIFS(Operations[Amount],Operations[Month],$B$11,Operations[Category],Expenses_10[[#This Row],[Category]])</f>
        <v>0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195.51</v>
      </c>
      <c r="D7" s="6">
        <f ca="1">SUMIFS(Operations[Amount],Operations[Bank],Flow_10[[#This Row],[Bank]],Operations[Product],Flow_10[[#This Row],[Product]],Operations[Month],$B$11)</f>
        <v>0</v>
      </c>
      <c r="E7" s="6">
        <f ca="1">Flow_10[[#This Row],[Opening balance]]+Flow_10[[#This Row],[Operations]]</f>
        <v>195.51</v>
      </c>
      <c r="G7" t="s">
        <v>27</v>
      </c>
      <c r="H7" s="6">
        <f ca="1">SUMIFS(Operations[Amount],Operations[Month],$B$11,Operations[Category],Incomes_10[[#This Row],[Category]])</f>
        <v>0</v>
      </c>
      <c r="J7" t="s">
        <v>19</v>
      </c>
      <c r="K7" s="6">
        <f ca="1">SUMIFS(Operations[Amount],Operations[Month],$B$11,Operations[Category],Expenses_10[[#This Row],[Category]])</f>
        <v>-40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393</v>
      </c>
      <c r="D8" s="6">
        <f ca="1">SUMIFS(Operations[Amount],Operations[Bank],Flow_10[[#This Row],[Bank]],Operations[Product],Flow_10[[#This Row],[Product]],Operations[Month],$B$11)</f>
        <v>0</v>
      </c>
      <c r="E8" s="6">
        <f ca="1">Flow_10[[#This Row],[Opening balance]]+Flow_10[[#This Row],[Operations]]</f>
        <v>393</v>
      </c>
      <c r="G8" t="s">
        <v>38</v>
      </c>
      <c r="H8" s="6">
        <f ca="1">SUBTOTAL(109,Incomes_10[Total])</f>
        <v>4500</v>
      </c>
      <c r="J8" t="s">
        <v>24</v>
      </c>
      <c r="K8" s="6">
        <f ca="1">SUMIFS(Operations[Amount],Operations[Month],$B$11,Operations[Category],Expenses_10[[#This Row],[Category]])</f>
        <v>0</v>
      </c>
    </row>
    <row r="9" spans="1:11" x14ac:dyDescent="0.25">
      <c r="A9" t="s">
        <v>38</v>
      </c>
      <c r="C9" s="6">
        <f ca="1">SUBTOTAL(109,Flow_10[Opening balance])</f>
        <v>15249.95</v>
      </c>
      <c r="D9" s="6">
        <f ca="1">SUBTOTAL(109,Flow_10[Operations])</f>
        <v>1670</v>
      </c>
      <c r="E9" s="6">
        <f ca="1">SUBTOTAL(109,Flow_10[Closing balance])</f>
        <v>16919.95</v>
      </c>
      <c r="J9" t="s">
        <v>23</v>
      </c>
      <c r="K9" s="6">
        <f ca="1">SUMIFS(Operations[Amount],Operations[Month],$B$11,Operations[Category],Expenses_10[[#This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SUMIFS(Operations[Amount],Operations[Month],$B$11,Operations[Category],Expenses_10[[#This Row],[Category]])</f>
        <v>-150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10</v>
      </c>
      <c r="J11" t="s">
        <v>38</v>
      </c>
      <c r="K11" s="6">
        <f ca="1">SUBTOTAL(109,Expenses_10[Total])</f>
        <v>-2830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SUMIFS(Operations[Amount],Operations[Month],$B$11,Operations[Type],Balance_10[[#This Row],[Type]])</f>
        <v>-2830</v>
      </c>
    </row>
    <row r="15" spans="1:11" x14ac:dyDescent="0.25">
      <c r="A15" t="s">
        <v>33</v>
      </c>
      <c r="B15" s="6">
        <f ca="1">SUMIFS(Operations[Amount],Operations[Month],$B$11,Operations[Type],Balance_10[[#This Row],[Type]])</f>
        <v>4500</v>
      </c>
    </row>
    <row r="16" spans="1:11" x14ac:dyDescent="0.25">
      <c r="A16" t="s">
        <v>34</v>
      </c>
      <c r="B16" s="6">
        <f ca="1">SUMIFS(Operations[Amount],Operations[Month],$B$11,Operations[Type],Balance_10[[#This Row],[Type]])</f>
        <v>0</v>
      </c>
    </row>
    <row r="17" spans="1:2" x14ac:dyDescent="0.25">
      <c r="A17" t="s">
        <v>38</v>
      </c>
      <c r="B17" s="6">
        <f ca="1">SUBTOTAL(109,Balance_10[Total])</f>
        <v>1670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FBD9-6359-4EDF-8382-7B56AB9F4462}">
  <dimension ref="A1:K17"/>
  <sheetViews>
    <sheetView zoomScale="140" zoomScaleNormal="140" workbookViewId="0">
      <selection activeCell="B11" sqref="B11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548.5</v>
      </c>
      <c r="D2" s="6">
        <f ca="1">SUMIFS(Operations[Amount],Operations[Bank],Flow_11[[#This Row],[Bank]],Operations[Product],Flow_11[[#This Row],[Product]],Operations[Month],$B$11)</f>
        <v>0</v>
      </c>
      <c r="E2" s="6">
        <f ca="1">Flow_11[[#This Row],[Opening balance]]+Flow_11[[#This Row],[Operations]]</f>
        <v>548.5</v>
      </c>
      <c r="G2" t="s">
        <v>25</v>
      </c>
      <c r="H2" s="6">
        <f ca="1">SUMIFS(Operations[Amount],Operations[Month],$B$11,Operations[Category],Incomes_11[[#This Row],[Category]])</f>
        <v>0</v>
      </c>
      <c r="J2" t="s">
        <v>18</v>
      </c>
      <c r="K2" s="6">
        <f ca="1">SUMIFS(Operations[Amount],Operations[Month],$B$11,Operations[Category],Expenses_11[[#This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1086</v>
      </c>
      <c r="D3" s="6">
        <f ca="1">SUMIFS(Operations[Amount],Operations[Bank],Flow_11[[#This Row],[Bank]],Operations[Product],Flow_11[[#This Row],[Product]],Operations[Month],$B$11)</f>
        <v>0</v>
      </c>
      <c r="E3" s="6">
        <f ca="1">Flow_11[[#This Row],[Opening balance]]+Flow_11[[#This Row],[Operations]]</f>
        <v>1086</v>
      </c>
      <c r="G3" t="s">
        <v>28</v>
      </c>
      <c r="H3" s="6">
        <f ca="1">SUMIFS(Operations[Amount],Operations[Month],$B$11,Operations[Category],Incomes_11[[#This Row],[Category]])</f>
        <v>0</v>
      </c>
      <c r="J3" t="s">
        <v>22</v>
      </c>
      <c r="K3" s="6">
        <f ca="1">SUMIFS(Operations[Amount],Operations[Month],$B$11,Operations[Category],Expenses_11[[#This Row],[Category]])</f>
        <v>-158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14736.94</v>
      </c>
      <c r="D4" s="6">
        <f ca="1">SUMIFS(Operations[Amount],Operations[Bank],Flow_11[[#This Row],[Bank]],Operations[Product],Flow_11[[#This Row],[Product]],Operations[Month],$B$11)</f>
        <v>960</v>
      </c>
      <c r="E4" s="6">
        <f ca="1">Flow_11[[#This Row],[Opening balance]]+Flow_11[[#This Row],[Operations]]</f>
        <v>15696.94</v>
      </c>
      <c r="G4" t="s">
        <v>29</v>
      </c>
      <c r="H4" s="6">
        <f ca="1">SUMIFS(Operations[Amount],Operations[Month],$B$11,Operations[Category],Incomes_11[[#This Row],[Category]])</f>
        <v>400</v>
      </c>
      <c r="J4" t="s">
        <v>20</v>
      </c>
      <c r="K4" s="6">
        <f ca="1">SUMIFS(Operations[Amount],Operations[Month],$B$11,Operations[Category],Expenses_11[[#This Row],[Category]])</f>
        <v>-214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-40</v>
      </c>
      <c r="D5" s="6">
        <f ca="1">SUMIFS(Operations[Amount],Operations[Bank],Flow_11[[#This Row],[Bank]],Operations[Product],Flow_11[[#This Row],[Product]],Operations[Month],$B$11)</f>
        <v>40</v>
      </c>
      <c r="E5" s="6">
        <f ca="1">Flow_11[[#This Row],[Opening balance]]+Flow_11[[#This Row],[Operations]]</f>
        <v>0</v>
      </c>
      <c r="G5" t="s">
        <v>30</v>
      </c>
      <c r="H5" s="6">
        <f ca="1">SUMIFS(Operations[Amount],Operations[Month],$B$11,Operations[Category],Incomes_11[[#This Row],[Category]])</f>
        <v>0</v>
      </c>
      <c r="J5" t="s">
        <v>17</v>
      </c>
      <c r="K5" s="6">
        <f ca="1">SUMIFS(Operations[Amount],Operations[Month],$B$11,Operations[Category],Expenses_11[[#This Row],[Category]])</f>
        <v>-506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0</v>
      </c>
      <c r="D6" s="6">
        <f ca="1">SUMIFS(Operations[Amount],Operations[Bank],Flow_11[[#This Row],[Bank]],Operations[Product],Flow_11[[#This Row],[Product]],Operations[Month],$B$11)</f>
        <v>0</v>
      </c>
      <c r="E6" s="6">
        <f ca="1">Flow_11[[#This Row],[Opening balance]]+Flow_11[[#This Row],[Operations]]</f>
        <v>0</v>
      </c>
      <c r="G6" t="s">
        <v>26</v>
      </c>
      <c r="H6" s="6">
        <f ca="1">SUMIFS(Operations[Amount],Operations[Month],$B$11,Operations[Category],Incomes_11[[#This Row],[Category]])</f>
        <v>4500</v>
      </c>
      <c r="J6" t="s">
        <v>21</v>
      </c>
      <c r="K6" s="6">
        <f ca="1">SUMIFS(Operations[Amount],Operations[Month],$B$11,Operations[Category],Expenses_11[[#This Row],[Category]])</f>
        <v>-133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195.51</v>
      </c>
      <c r="D7" s="6">
        <f ca="1">SUMIFS(Operations[Amount],Operations[Bank],Flow_11[[#This Row],[Bank]],Operations[Product],Flow_11[[#This Row],[Product]],Operations[Month],$B$11)</f>
        <v>0</v>
      </c>
      <c r="E7" s="6">
        <f ca="1">Flow_11[[#This Row],[Opening balance]]+Flow_11[[#This Row],[Operations]]</f>
        <v>195.51</v>
      </c>
      <c r="G7" t="s">
        <v>27</v>
      </c>
      <c r="H7" s="6">
        <f ca="1">SUMIFS(Operations[Amount],Operations[Month],$B$11,Operations[Category],Incomes_11[[#This Row],[Category]])</f>
        <v>0</v>
      </c>
      <c r="J7" t="s">
        <v>19</v>
      </c>
      <c r="K7" s="6">
        <f ca="1">SUMIFS(Operations[Amount],Operations[Month],$B$11,Operations[Category],Expenses_11[[#This Row],[Category]])</f>
        <v>-47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393</v>
      </c>
      <c r="D8" s="6">
        <f ca="1">SUMIFS(Operations[Amount],Operations[Bank],Flow_11[[#This Row],[Bank]],Operations[Product],Flow_11[[#This Row],[Product]],Operations[Month],$B$11)</f>
        <v>400</v>
      </c>
      <c r="E8" s="6">
        <f ca="1">Flow_11[[#This Row],[Opening balance]]+Flow_11[[#This Row],[Operations]]</f>
        <v>793</v>
      </c>
      <c r="G8" t="s">
        <v>38</v>
      </c>
      <c r="H8" s="6">
        <f ca="1">SUBTOTAL(109,Incomes_11[Total])</f>
        <v>4900</v>
      </c>
      <c r="J8" t="s">
        <v>24</v>
      </c>
      <c r="K8" s="6">
        <f ca="1">SUMIFS(Operations[Amount],Operations[Month],$B$11,Operations[Category],Expenses_11[[#This Row],[Category]])</f>
        <v>-234</v>
      </c>
    </row>
    <row r="9" spans="1:11" x14ac:dyDescent="0.25">
      <c r="A9" t="s">
        <v>38</v>
      </c>
      <c r="C9" s="6">
        <f ca="1">SUBTOTAL(109,Flow_11[Opening balance])</f>
        <v>16919.95</v>
      </c>
      <c r="D9" s="6">
        <f ca="1">SUBTOTAL(109,Flow_11[Operations])</f>
        <v>1400</v>
      </c>
      <c r="E9" s="6">
        <f ca="1">SUBTOTAL(109,Flow_11[Closing balance])</f>
        <v>18319.95</v>
      </c>
      <c r="J9" t="s">
        <v>23</v>
      </c>
      <c r="K9" s="6">
        <f ca="1">SUMIFS(Operations[Amount],Operations[Month],$B$11,Operations[Category],Expenses_11[[#This Row],[Category]])</f>
        <v>0</v>
      </c>
    </row>
    <row r="10" spans="1:11" x14ac:dyDescent="0.25">
      <c r="J10" t="s">
        <v>16</v>
      </c>
      <c r="K10" s="6">
        <f ca="1">SUMIFS(Operations[Amount],Operations[Month],$B$11,Operations[Category],Expenses_11[[#This Row],[Category]])</f>
        <v>-208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11</v>
      </c>
      <c r="J11" t="s">
        <v>38</v>
      </c>
      <c r="K11" s="6">
        <f ca="1">SUBTOTAL(109,Expenses_11[Total])</f>
        <v>-3500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SUMIFS(Operations[Amount],Operations[Month],$B$11,Operations[Type],Balance_11[[#This Row],[Type]])</f>
        <v>-3500</v>
      </c>
    </row>
    <row r="15" spans="1:11" x14ac:dyDescent="0.25">
      <c r="A15" t="s">
        <v>33</v>
      </c>
      <c r="B15" s="6">
        <f ca="1">SUMIFS(Operations[Amount],Operations[Month],$B$11,Operations[Type],Balance_11[[#This Row],[Type]])</f>
        <v>4900</v>
      </c>
    </row>
    <row r="16" spans="1:11" x14ac:dyDescent="0.25">
      <c r="A16" t="s">
        <v>34</v>
      </c>
      <c r="B16" s="6">
        <f ca="1">SUMIFS(Operations[Amount],Operations[Month],$B$11,Operations[Type],Balance_11[[#This Row],[Type]])</f>
        <v>0</v>
      </c>
    </row>
    <row r="17" spans="1:2" x14ac:dyDescent="0.25">
      <c r="A17" t="s">
        <v>38</v>
      </c>
      <c r="B17" s="6">
        <f ca="1">SUBTOTAL(109,Balance_11[Total])</f>
        <v>1400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6E11D-635F-445C-B34E-364E0EB9B6B0}">
  <dimension ref="A1:K17"/>
  <sheetViews>
    <sheetView zoomScale="140" zoomScaleNormal="140" workbookViewId="0">
      <selection activeCell="K3" sqref="K3"/>
    </sheetView>
  </sheetViews>
  <sheetFormatPr defaultRowHeight="15" x14ac:dyDescent="0.25"/>
  <cols>
    <col min="1" max="1" width="11.28515625" bestFit="1" customWidth="1"/>
    <col min="2" max="2" width="18.28515625" bestFit="1" customWidth="1"/>
    <col min="3" max="3" width="19.85546875" bestFit="1" customWidth="1"/>
    <col min="4" max="4" width="14.5703125" bestFit="1" customWidth="1"/>
    <col min="5" max="5" width="15.7109375" customWidth="1"/>
    <col min="7" max="7" width="12.85546875" bestFit="1" customWidth="1"/>
    <col min="8" max="8" width="12" bestFit="1" customWidth="1"/>
    <col min="10" max="10" width="15.140625" bestFit="1" customWidth="1"/>
    <col min="11" max="11" width="12" bestFit="1" customWidth="1"/>
  </cols>
  <sheetData>
    <row r="1" spans="1:11" x14ac:dyDescent="0.25">
      <c r="A1" t="s">
        <v>0</v>
      </c>
      <c r="B1" t="s">
        <v>2</v>
      </c>
      <c r="C1" s="6" t="s">
        <v>37</v>
      </c>
      <c r="D1" s="6" t="s">
        <v>35</v>
      </c>
      <c r="E1" s="6" t="s">
        <v>36</v>
      </c>
      <c r="G1" t="s">
        <v>3</v>
      </c>
      <c r="H1" t="s">
        <v>38</v>
      </c>
      <c r="J1" t="s">
        <v>3</v>
      </c>
      <c r="K1" t="s">
        <v>38</v>
      </c>
    </row>
    <row r="2" spans="1:11" x14ac:dyDescent="0.25">
      <c r="A2" t="s">
        <v>11</v>
      </c>
      <c r="B2" t="s">
        <v>8</v>
      </c>
      <c r="C2" s="6" cm="1">
        <f t="array" aca="1" ref="C2" ca="1">INDIRECT("Flow_"&amp;$B$11-1&amp;"[@[Closing balance]]")</f>
        <v>548.5</v>
      </c>
      <c r="D2" s="6">
        <f ca="1">SUMIFS(Operations[Amount],Operations[Bank],Flow_12[[#This Row],[Bank]],Operations[Product],Flow_12[[#This Row],[Product]],Operations[Month],$B$11)</f>
        <v>0</v>
      </c>
      <c r="E2" s="6">
        <f ca="1">Flow_12[[#This Row],[Opening balance]]+Flow_12[[#This Row],[Operations]]</f>
        <v>548.5</v>
      </c>
      <c r="G2" t="s">
        <v>25</v>
      </c>
      <c r="H2" s="6">
        <f ca="1">SUMIFS(Operations[Amount],Operations[Month],$B$11,Operations[Category],Incomes_12[[#This Row],[Category]])</f>
        <v>0</v>
      </c>
      <c r="J2" t="s">
        <v>18</v>
      </c>
      <c r="K2" s="6">
        <f ca="1">SUMIFS(Operations[Amount],Operations[Month],$B$11,Operations[Category],Expenses_12[[#This Row],[Category]])</f>
        <v>-2000</v>
      </c>
    </row>
    <row r="3" spans="1:11" x14ac:dyDescent="0.25">
      <c r="A3" t="s">
        <v>11</v>
      </c>
      <c r="B3" t="s">
        <v>12</v>
      </c>
      <c r="C3" s="6" cm="1">
        <f t="array" aca="1" ref="C3" ca="1">INDIRECT("Flow_"&amp;$B$11-1&amp;"[@[Closing balance]]")</f>
        <v>1086</v>
      </c>
      <c r="D3" s="6">
        <f ca="1">SUMIFS(Operations[Amount],Operations[Bank],Flow_12[[#This Row],[Bank]],Operations[Product],Flow_12[[#This Row],[Product]],Operations[Month],$B$11)</f>
        <v>0</v>
      </c>
      <c r="E3" s="6">
        <f ca="1">Flow_12[[#This Row],[Opening balance]]+Flow_12[[#This Row],[Operations]]</f>
        <v>1086</v>
      </c>
      <c r="G3" t="s">
        <v>28</v>
      </c>
      <c r="H3" s="6">
        <f ca="1">SUMIFS(Operations[Amount],Operations[Month],$B$11,Operations[Category],Incomes_12[[#This Row],[Category]])</f>
        <v>0</v>
      </c>
      <c r="J3" t="s">
        <v>22</v>
      </c>
      <c r="K3" s="6">
        <f ca="1">SUMIFS(Operations[Amount],Operations[Month],$B$11,Operations[Category],Expenses_12[[#This Row],[Category]])</f>
        <v>-120</v>
      </c>
    </row>
    <row r="4" spans="1:11" x14ac:dyDescent="0.25">
      <c r="A4" t="s">
        <v>7</v>
      </c>
      <c r="B4" t="s">
        <v>8</v>
      </c>
      <c r="C4" s="6" cm="1">
        <f t="array" aca="1" ref="C4" ca="1">INDIRECT("Flow_"&amp;$B$11-1&amp;"[@[Closing balance]]")</f>
        <v>15696.94</v>
      </c>
      <c r="D4" s="6">
        <f ca="1">SUMIFS(Operations[Amount],Operations[Bank],Flow_12[[#This Row],[Bank]],Operations[Product],Flow_12[[#This Row],[Product]],Operations[Month],$B$11)</f>
        <v>1320</v>
      </c>
      <c r="E4" s="6">
        <f ca="1">Flow_12[[#This Row],[Opening balance]]+Flow_12[[#This Row],[Operations]]</f>
        <v>17016.940000000002</v>
      </c>
      <c r="G4" t="s">
        <v>29</v>
      </c>
      <c r="H4" s="6">
        <f ca="1">SUMIFS(Operations[Amount],Operations[Month],$B$11,Operations[Category],Incomes_12[[#This Row],[Category]])</f>
        <v>2000</v>
      </c>
      <c r="J4" t="s">
        <v>20</v>
      </c>
      <c r="K4" s="6">
        <f ca="1">SUMIFS(Operations[Amount],Operations[Month],$B$11,Operations[Category],Expenses_12[[#This Row],[Category]])</f>
        <v>-450</v>
      </c>
    </row>
    <row r="5" spans="1:11" x14ac:dyDescent="0.25">
      <c r="A5" t="s">
        <v>7</v>
      </c>
      <c r="B5" t="s">
        <v>9</v>
      </c>
      <c r="C5" s="6" cm="1">
        <f t="array" aca="1" ref="C5" ca="1">INDIRECT("Flow_"&amp;$B$11-1&amp;"[@[Closing balance]]")</f>
        <v>0</v>
      </c>
      <c r="D5" s="6">
        <f ca="1">SUMIFS(Operations[Amount],Operations[Bank],Flow_12[[#This Row],[Bank]],Operations[Product],Flow_12[[#This Row],[Product]],Operations[Month],$B$11)</f>
        <v>0</v>
      </c>
      <c r="E5" s="6">
        <f ca="1">Flow_12[[#This Row],[Opening balance]]+Flow_12[[#This Row],[Operations]]</f>
        <v>0</v>
      </c>
      <c r="G5" t="s">
        <v>30</v>
      </c>
      <c r="H5" s="6">
        <f ca="1">SUMIFS(Operations[Amount],Operations[Month],$B$11,Operations[Category],Incomes_12[[#This Row],[Category]])</f>
        <v>0</v>
      </c>
      <c r="J5" t="s">
        <v>17</v>
      </c>
      <c r="K5" s="6">
        <f ca="1">SUMIFS(Operations[Amount],Operations[Month],$B$11,Operations[Category],Expenses_12[[#This Row],[Category]])</f>
        <v>-700</v>
      </c>
    </row>
    <row r="6" spans="1:11" x14ac:dyDescent="0.25">
      <c r="A6" t="s">
        <v>7</v>
      </c>
      <c r="B6" t="s">
        <v>10</v>
      </c>
      <c r="C6" s="6" cm="1">
        <f t="array" aca="1" ref="C6" ca="1">INDIRECT("Flow_"&amp;$B$11-1&amp;"[@[Closing balance]]")</f>
        <v>0</v>
      </c>
      <c r="D6" s="6">
        <f ca="1">SUMIFS(Operations[Amount],Operations[Bank],Flow_12[[#This Row],[Bank]],Operations[Product],Flow_12[[#This Row],[Product]],Operations[Month],$B$11)</f>
        <v>0</v>
      </c>
      <c r="E6" s="6">
        <f ca="1">Flow_12[[#This Row],[Opening balance]]+Flow_12[[#This Row],[Operations]]</f>
        <v>0</v>
      </c>
      <c r="G6" t="s">
        <v>26</v>
      </c>
      <c r="H6" s="6">
        <f ca="1">SUMIFS(Operations[Amount],Operations[Month],$B$11,Operations[Category],Incomes_12[[#This Row],[Category]])</f>
        <v>4500</v>
      </c>
      <c r="J6" t="s">
        <v>21</v>
      </c>
      <c r="K6" s="6">
        <f ca="1">SUMIFS(Operations[Amount],Operations[Month],$B$11,Operations[Category],Expenses_12[[#This Row],[Category]])</f>
        <v>-10</v>
      </c>
    </row>
    <row r="7" spans="1:11" x14ac:dyDescent="0.25">
      <c r="A7" t="s">
        <v>13</v>
      </c>
      <c r="B7" t="s">
        <v>15</v>
      </c>
      <c r="C7" s="6" cm="1">
        <f t="array" aca="1" ref="C7" ca="1">INDIRECT("Flow_"&amp;$B$11-1&amp;"[@[Closing balance]]")</f>
        <v>195.51</v>
      </c>
      <c r="D7" s="6">
        <f ca="1">SUMIFS(Operations[Amount],Operations[Bank],Flow_12[[#This Row],[Bank]],Operations[Product],Flow_12[[#This Row],[Product]],Operations[Month],$B$11)</f>
        <v>0</v>
      </c>
      <c r="E7" s="6">
        <f ca="1">Flow_12[[#This Row],[Opening balance]]+Flow_12[[#This Row],[Operations]]</f>
        <v>195.51</v>
      </c>
      <c r="G7" t="s">
        <v>27</v>
      </c>
      <c r="H7" s="6">
        <f ca="1">SUMIFS(Operations[Amount],Operations[Month],$B$11,Operations[Category],Incomes_12[[#This Row],[Category]])</f>
        <v>0</v>
      </c>
      <c r="J7" t="s">
        <v>19</v>
      </c>
      <c r="K7" s="6">
        <f ca="1">SUMIFS(Operations[Amount],Operations[Month],$B$11,Operations[Category],Expenses_12[[#This Row],[Category]])</f>
        <v>0</v>
      </c>
    </row>
    <row r="8" spans="1:11" x14ac:dyDescent="0.25">
      <c r="A8" t="s">
        <v>13</v>
      </c>
      <c r="B8" t="s">
        <v>14</v>
      </c>
      <c r="C8" s="6" cm="1">
        <f t="array" aca="1" ref="C8" ca="1">INDIRECT("Flow_"&amp;$B$11-1&amp;"[@[Closing balance]]")</f>
        <v>793</v>
      </c>
      <c r="D8" s="6">
        <f ca="1">SUMIFS(Operations[Amount],Operations[Bank],Flow_12[[#This Row],[Bank]],Operations[Product],Flow_12[[#This Row],[Product]],Operations[Month],$B$11)</f>
        <v>1100</v>
      </c>
      <c r="E8" s="6">
        <f ca="1">Flow_12[[#This Row],[Opening balance]]+Flow_12[[#This Row],[Operations]]</f>
        <v>1893</v>
      </c>
      <c r="G8" t="s">
        <v>38</v>
      </c>
      <c r="H8" s="6">
        <f ca="1">SUBTOTAL(109,Incomes_12[Total])</f>
        <v>6500</v>
      </c>
      <c r="J8" t="s">
        <v>24</v>
      </c>
      <c r="K8" s="6">
        <f ca="1">SUMIFS(Operations[Amount],Operations[Month],$B$11,Operations[Category],Expenses_12[[#This Row],[Category]])</f>
        <v>-700</v>
      </c>
    </row>
    <row r="9" spans="1:11" x14ac:dyDescent="0.25">
      <c r="A9" t="s">
        <v>38</v>
      </c>
      <c r="C9" s="6">
        <f ca="1">SUBTOTAL(109,Flow_12[Opening balance])</f>
        <v>18319.95</v>
      </c>
      <c r="D9" s="6">
        <f ca="1">SUBTOTAL(109,Flow_12[Operations])</f>
        <v>2420</v>
      </c>
      <c r="E9" s="6">
        <f ca="1">SUBTOTAL(109,Flow_12[Closing balance])</f>
        <v>20739.95</v>
      </c>
      <c r="J9" t="s">
        <v>23</v>
      </c>
      <c r="K9" s="6">
        <f ca="1">SUMIFS(Operations[Amount],Operations[Month],$B$11,Operations[Category],Expenses_12[[#This Row],[Category]])</f>
        <v>-100</v>
      </c>
    </row>
    <row r="10" spans="1:11" x14ac:dyDescent="0.25">
      <c r="J10" t="s">
        <v>16</v>
      </c>
      <c r="K10" s="6">
        <f ca="1">SUMIFS(Operations[Amount],Operations[Month],$B$11,Operations[Category],Expenses_12[[#This Row],[Category]])</f>
        <v>0</v>
      </c>
    </row>
    <row r="11" spans="1:11" x14ac:dyDescent="0.25">
      <c r="A11" s="7" t="s">
        <v>6</v>
      </c>
      <c r="B11" s="8" t="str">
        <f ca="1">RIGHT(CELL("filename",A1),LEN(CELL("filename",A1))-FIND("]",CELL("filename",A1)))</f>
        <v>12</v>
      </c>
      <c r="J11" t="s">
        <v>38</v>
      </c>
      <c r="K11" s="6">
        <f ca="1">SUBTOTAL(109,Expenses_12[Total])</f>
        <v>-4080</v>
      </c>
    </row>
    <row r="13" spans="1:11" x14ac:dyDescent="0.25">
      <c r="A13" t="s">
        <v>4</v>
      </c>
      <c r="B13" t="s">
        <v>38</v>
      </c>
    </row>
    <row r="14" spans="1:11" x14ac:dyDescent="0.25">
      <c r="A14" t="s">
        <v>32</v>
      </c>
      <c r="B14" s="6">
        <f ca="1">SUMIFS(Operations[Amount],Operations[Month],$B$11,Operations[Type],Balance_12[[#This Row],[Type]])</f>
        <v>-4080</v>
      </c>
    </row>
    <row r="15" spans="1:11" x14ac:dyDescent="0.25">
      <c r="A15" t="s">
        <v>33</v>
      </c>
      <c r="B15" s="6">
        <f ca="1">SUMIFS(Operations[Amount],Operations[Month],$B$11,Operations[Type],Balance_12[[#This Row],[Type]])</f>
        <v>6500</v>
      </c>
    </row>
    <row r="16" spans="1:11" x14ac:dyDescent="0.25">
      <c r="A16" t="s">
        <v>34</v>
      </c>
      <c r="B16" s="6">
        <f ca="1">SUMIFS(Operations[Amount],Operations[Month],$B$11,Operations[Type],Balance_12[[#This Row],[Type]])</f>
        <v>0</v>
      </c>
    </row>
    <row r="17" spans="1:2" x14ac:dyDescent="0.25">
      <c r="A17" t="s">
        <v>38</v>
      </c>
      <c r="B17" s="6">
        <f ca="1">SUBTOTAL(109,Balance_12[Total])</f>
        <v>2420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Dicionary</vt:lpstr>
      <vt:lpstr>Operations</vt:lpstr>
      <vt:lpstr>summary1</vt:lpstr>
      <vt:lpstr>summary2</vt:lpstr>
      <vt:lpstr>summary3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2025-12-12T13:41:15Z</dcterms:modified>
</cp:coreProperties>
</file>