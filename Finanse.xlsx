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studia\"/>
    </mc:Choice>
  </mc:AlternateContent>
  <xr:revisionPtr revIDLastSave="0" documentId="13_ncr:1_{8023028D-73A8-4714-A0D7-40DC4556B790}" xr6:coauthVersionLast="47" xr6:coauthVersionMax="47" xr10:uidLastSave="{00000000-0000-0000-0000-000000000000}"/>
  <bookViews>
    <workbookView xWindow="-105" yWindow="0" windowWidth="13440" windowHeight="15585" xr2:uid="{19EE711A-3283-4873-9107-9C9869A047C7}"/>
  </bookViews>
  <sheets>
    <sheet name="operations" sheetId="2" r:id="rId1"/>
    <sheet name="Dicionary" sheetId="3" r:id="rId2"/>
  </sheets>
  <definedNames>
    <definedName name="_xlnm._FilterDatabase" localSheetId="1" hidden="1">Dicionary!$A$1:$B$17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I3" i="2"/>
  <c r="J3" i="2" s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</calcChain>
</file>

<file path=xl/sharedStrings.xml><?xml version="1.0" encoding="utf-8"?>
<sst xmlns="http://schemas.openxmlformats.org/spreadsheetml/2006/main" count="685" uniqueCount="35">
  <si>
    <t>Bank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</si>
  <si>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</si>
  <si>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</si>
  <si>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</si>
  <si>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</si>
  <si>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</si>
  <si>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</si>
  <si>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</si>
  <si>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</si>
  <si>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</si>
  <si>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</si>
  <si>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</si>
  <si>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</si>
  <si>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</si>
  <si>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</si>
  <si>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</si>
  <si>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</si>
  <si>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</si>
  <si>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</si>
  <si>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</si>
  <si>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</si>
  <si>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</si>
  <si>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</si>
  <si>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</si>
  <si>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</si>
  <si>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</si>
  <si>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</si>
  <si>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</si>
  <si>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</si>
  <si>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</si>
  <si>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</si>
  <si>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</si>
  <si>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Expense</t>
  </si>
  <si>
    <t>Income</t>
  </si>
  <si>
    <t>Transfert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</si>
</sst>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zł&quot;;[Red]\-#,##0.00\ &quot;zł&quot;"/>
  </numFmts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8" fontId="1" fillId="0" borderId="0" xfId="0" applyNumberFormat="1" applyFont="1"/>
    <xf numFmtId="14" fontId="1" fillId="0" borderId="0" xfId="0" applyNumberFormat="1" applyFont="1"/>
    <xf numFmtId="0" fontId="1" fillId="3" borderId="4" xfId="0" applyFont="1" applyFill="1" applyBorder="1"/>
    <xf numFmtId="0" fontId="1" fillId="4" borderId="4" xfId="0" applyFont="1" applyFill="1" applyBorder="1"/>
    <xf numFmtId="0" fontId="2" fillId="2" borderId="1" xfId="0" applyFont="1" applyFill="1" applyBorder="1"/>
    <xf numFmtId="0" fontId="1" fillId="3" borderId="3" xfId="0" applyFont="1" applyFill="1" applyBorder="1"/>
    <xf numFmtId="0" fontId="1" fillId="4" borderId="3" xfId="0" applyFont="1" applyFill="1" applyBorder="1"/>
    <xf numFmtId="0" fontId="2" fillId="2" borderId="2" xfId="0" applyFont="1" applyFill="1" applyBorder="1"/>
    <xf numFmtId="0" fontId="1" fillId="3" borderId="5" xfId="0" applyFont="1" applyFill="1" applyBorder="1"/>
    <xf numFmtId="0" fontId="1" fillId="4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</cellXfs>
  <cellStyles count="1">
    <cellStyle name="Normalny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2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EA216C-FFD9-4A05-BF08-B832A43E3520}" name="Table4" displayName="Table4" ref="A1:G207" totalsRowShown="0" headerRowDxfId="15" dataDxfId="14">
  <autoFilter ref="A1:G207" xr:uid="{77EA216C-FFD9-4A05-BF08-B832A43E3520}"/>
  <tableColumns count="7">
    <tableColumn id="1" xr3:uid="{68ACE8F2-D3B7-4A07-A81C-AF60D2DE6312}" name="Amount" dataDxfId="13"/>
    <tableColumn id="2" xr3:uid="{7254576B-CAD8-4BF8-91A7-FCE7DBDF3336}" name="Bank" dataDxfId="12"/>
    <tableColumn id="3" xr3:uid="{B4A67B35-2B8C-48AF-AB70-F7C5686F9E6F}" name="Product" dataDxfId="11"/>
    <tableColumn id="4" xr3:uid="{0AA0F34C-1B3B-40BD-A2ED-C43E9ACECCE2}" name="Category" dataDxfId="10"/>
    <tableColumn id="5" xr3:uid="{B0DC3548-A9AA-420A-8564-5F10AFE241CF}" name="Type" dataDxfId="9">
      <calculatedColumnFormula>_xlfn.XLOOKUP(Table4[[#This Row],[Category]],Table3[Category],Table3[Type],"",0,1)</calculatedColumnFormula>
    </tableColumn>
    <tableColumn id="6" xr3:uid="{2C72B247-1CFD-44D6-BDA9-F9D0BB401FA1}" name="Date" dataDxfId="8"/>
    <tableColumn id="7" xr3:uid="{4E65CCC6-D609-484D-A68A-DC8E888AFEE9}" name="Month" dataDxfId="7">
      <calculatedColumnFormula>MONTH(Table4[[#This Row],[Date]])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1BC74A-DDC2-4B4C-AE0C-03BA92D90741}" name="Table3" displayName="Table3" ref="A1:B17" totalsRowShown="0">
  <autoFilter ref="A1:B17" xr:uid="{FFDBC6BC-B9BD-47EE-B2CB-AEB1438C6764}"/>
  <sortState xmlns:xlrd2="http://schemas.microsoft.com/office/spreadsheetml/2017/richdata2" ref="A2:B17">
    <sortCondition ref="B2:B17"/>
    <sortCondition ref="A2:A17"/>
  </sortState>
  <tableColumns count="2">
    <tableColumn id="1" xr3:uid="{96CA6C19-D99F-42A3-B9D3-0019A742AF8B}" name="Category" dataDxfId="6"/>
    <tableColumn id="2" xr3:uid="{0EA9F851-FCD1-470B-9F83-640CF24D733D}" name="Typ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E3D28A-7C62-49E1-8BA5-EDA4B0F1FCC8}" name="Tabela1" displayName="Tabela1" ref="D1:E8" totalsRowShown="0" headerRowDxfId="0" headerRowBorderDxfId="4" tableBorderDxfId="5" totalsRowBorderDxfId="3">
  <autoFilter ref="D1:E8" xr:uid="{38E3D28A-7C62-49E1-8BA5-EDA4B0F1FCC8}"/>
  <sortState xmlns:xlrd2="http://schemas.microsoft.com/office/spreadsheetml/2017/richdata2" ref="D2:E8">
    <sortCondition ref="D1:D8"/>
  </sortState>
  <tableColumns count="2">
    <tableColumn id="1" xr3:uid="{A8146B56-0895-4687-AE2A-B364E6A807C8}" name="Bank" dataDxfId="2"/>
    <tableColumn id="2" xr3:uid="{FCDFD562-36D5-4BD5-B1D6-D843D809141C}" name="Product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J207"/>
  <sheetViews>
    <sheetView tabSelected="1" topLeftCell="C1" workbookViewId="0">
      <selection activeCell="H16" sqref="H16"/>
    </sheetView>
  </sheetViews>
  <sheetFormatPr defaultRowHeight="15" x14ac:dyDescent="0.25"/>
  <cols>
    <col min="1" max="1" width="11.85546875" bestFit="1" customWidth="1"/>
    <col min="2" max="2" width="12.28515625" customWidth="1"/>
    <col min="3" max="3" width="18.5703125" bestFit="1" customWidth="1"/>
    <col min="4" max="4" width="16" bestFit="1" customWidth="1"/>
    <col min="5" max="5" width="12.7109375" customWidth="1"/>
    <col min="6" max="6" width="11.28515625" bestFit="1" customWidth="1"/>
    <col min="7" max="7" width="8.7109375" customWidth="1"/>
    <col min="9" max="9" width="14.42578125" customWidth="1"/>
    <col min="10" max="10" width="18.42578125" customWidth="1"/>
  </cols>
  <sheetData>
    <row r="1" spans="1:10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25">
      <c r="A2" s="2">
        <v>-1500</v>
      </c>
      <c r="B2" s="1" t="s">
        <v>7</v>
      </c>
      <c r="C2" s="1" t="s">
        <v>8</v>
      </c>
      <c r="D2" s="1" t="s">
        <v>17</v>
      </c>
      <c r="E2" s="1" t="str">
        <f>_xlfn.XLOOKUP(Table4[[#This Row],[Category]],Table3[Category],Table3[Type],"",0,1)</f>
        <v>Expense</v>
      </c>
      <c r="F2" s="3">
        <v>45296</v>
      </c>
      <c r="G2" s="1">
        <f>MONTH(Table4[[#This Row],[Date]])</f>
        <v>1</v>
      </c>
      <c r="J2" t="str">
        <f>CHOOSE(MATCH(B2,Dicionary!$G$1:$I$1,0),Dicionary!$H$2,Dicionary!$H$3,Dicionary!$H$4,)</f>
        <v>Credit card</v>
      </c>
    </row>
    <row r="3" spans="1:10" x14ac:dyDescent="0.25">
      <c r="A3" s="2">
        <v>4500</v>
      </c>
      <c r="B3" s="1" t="s">
        <v>7</v>
      </c>
      <c r="C3" s="1" t="s">
        <v>8</v>
      </c>
      <c r="D3" s="1" t="s">
        <v>26</v>
      </c>
      <c r="E3" s="1" t="str">
        <f>_xlfn.XLOOKUP(Table4[[#This Row],[Category]],Table3[Category],Table3[Type],"",0,1)</f>
        <v>Income</v>
      </c>
      <c r="F3" s="3">
        <v>45301</v>
      </c>
      <c r="G3" s="1">
        <f>MONTH(Table4[[#This Row],[Date]])</f>
        <v>1</v>
      </c>
      <c r="I3">
        <f>MATCH(B3,Dicionary!$G$1:$I$1,0)</f>
        <v>2</v>
      </c>
      <c r="J3" t="str">
        <f>CHOOSE(I3,Dicionary!$H$2,Dicionary!$H$3,Dicionary!$H$4,)</f>
        <v>Credit card</v>
      </c>
    </row>
    <row r="4" spans="1:10" x14ac:dyDescent="0.25">
      <c r="A4" s="2">
        <v>-2000</v>
      </c>
      <c r="B4" s="1" t="s">
        <v>7</v>
      </c>
      <c r="C4" s="1" t="s">
        <v>8</v>
      </c>
      <c r="D4" s="1" t="s">
        <v>18</v>
      </c>
      <c r="E4" s="1" t="str">
        <f>_xlfn.XLOOKUP(Table4[[#This Row],[Category]],Table3[Category],Table3[Type],"",0,1)</f>
        <v>Expense</v>
      </c>
      <c r="F4" s="3">
        <v>45302</v>
      </c>
      <c r="G4" s="1">
        <f>MONTH(Table4[[#This Row],[Date]])</f>
        <v>1</v>
      </c>
      <c r="I4">
        <f>MATCH(B4,Dicionary!$G$1:$I$1,0)</f>
        <v>2</v>
      </c>
      <c r="J4" t="str">
        <f>CHOOSE(I4,Dicionary!$H$2,Dicionary!$H$3,Dicionary!$H$4,)</f>
        <v>Credit card</v>
      </c>
    </row>
    <row r="5" spans="1:10" x14ac:dyDescent="0.25">
      <c r="A5" s="2">
        <v>-45</v>
      </c>
      <c r="B5" s="1" t="s">
        <v>11</v>
      </c>
      <c r="C5" s="1" t="s">
        <v>8</v>
      </c>
      <c r="D5" s="1" t="s">
        <v>17</v>
      </c>
      <c r="E5" s="1" t="str">
        <f>_xlfn.XLOOKUP(Table4[[#This Row],[Category]],Table3[Category],Table3[Type],"",0,1)</f>
        <v>Expense</v>
      </c>
      <c r="F5" s="3">
        <v>45305</v>
      </c>
      <c r="G5" s="1">
        <f>MONTH(Table4[[#This Row],[Date]])</f>
        <v>1</v>
      </c>
      <c r="I5">
        <f>MATCH(B5,Dicionary!$G$1:$I$1,0)</f>
        <v>1</v>
      </c>
      <c r="J5" t="str">
        <f>CHOOSE(I5,Dicionary!$H$2,Dicionary!$H$3,Dicionary!$H$4,)</f>
        <v>Account</v>
      </c>
    </row>
    <row r="6" spans="1:10" x14ac:dyDescent="0.25">
      <c r="A6" s="2">
        <v>-150</v>
      </c>
      <c r="B6" s="1" t="s">
        <v>7</v>
      </c>
      <c r="C6" s="1" t="s">
        <v>9</v>
      </c>
      <c r="D6" s="1" t="s">
        <v>19</v>
      </c>
      <c r="E6" s="1" t="str">
        <f>_xlfn.XLOOKUP(Table4[[#This Row],[Category]],Table3[Category],Table3[Type],"",0,1)</f>
        <v>Expense</v>
      </c>
      <c r="F6" s="3">
        <v>45306</v>
      </c>
      <c r="G6" s="1">
        <f>MONTH(Table4[[#This Row],[Date]])</f>
        <v>1</v>
      </c>
      <c r="I6">
        <f>MATCH(B6,Dicionary!$G$1:$I$1,0)</f>
        <v>2</v>
      </c>
      <c r="J6" t="str">
        <f>CHOOSE(I6,Dicionary!$H$2,Dicionary!$H$3,Dicionary!$H$4,)</f>
        <v>Credit card</v>
      </c>
    </row>
    <row r="7" spans="1:10" x14ac:dyDescent="0.25">
      <c r="A7" s="2">
        <v>-120</v>
      </c>
      <c r="B7" s="1" t="s">
        <v>7</v>
      </c>
      <c r="C7" s="1" t="s">
        <v>8</v>
      </c>
      <c r="D7" s="1" t="s">
        <v>17</v>
      </c>
      <c r="E7" s="1" t="str">
        <f>_xlfn.XLOOKUP(Table4[[#This Row],[Category]],Table3[Category],Table3[Type],"",0,1)</f>
        <v>Expense</v>
      </c>
      <c r="F7" s="3">
        <v>45307</v>
      </c>
      <c r="G7" s="1">
        <f>MONTH(Table4[[#This Row],[Date]])</f>
        <v>1</v>
      </c>
      <c r="I7">
        <f>MATCH(B7,Dicionary!$G$1:$I$1,0)</f>
        <v>2</v>
      </c>
      <c r="J7" t="str">
        <f>CHOOSE(I7,Dicionary!$H$2,Dicionary!$H$3,Dicionary!$H$4,)</f>
        <v>Credit card</v>
      </c>
    </row>
    <row r="8" spans="1:10" x14ac:dyDescent="0.25">
      <c r="A8" s="2">
        <v>500</v>
      </c>
      <c r="B8" s="1" t="s">
        <v>7</v>
      </c>
      <c r="C8" s="1" t="s">
        <v>8</v>
      </c>
      <c r="D8" s="1" t="s">
        <v>30</v>
      </c>
      <c r="E8" s="1" t="str">
        <f>_xlfn.XLOOKUP(Table4[[#This Row],[Category]],Table3[Category],Table3[Type],"",0,1)</f>
        <v>Income</v>
      </c>
      <c r="F8" s="3">
        <v>45308</v>
      </c>
      <c r="G8" s="1">
        <f>MONTH(Table4[[#This Row],[Date]])</f>
        <v>1</v>
      </c>
      <c r="I8">
        <f>MATCH(B8,Dicionary!$G$1:$I$1,0)</f>
        <v>2</v>
      </c>
      <c r="J8" t="str">
        <f>CHOOSE(I8,Dicionary!$H$2,Dicionary!$H$3,Dicionary!$H$4,)</f>
        <v>Credit card</v>
      </c>
    </row>
    <row r="9" spans="1:10" x14ac:dyDescent="0.25">
      <c r="A9" s="2">
        <v>-500</v>
      </c>
      <c r="B9" s="1" t="s">
        <v>7</v>
      </c>
      <c r="C9" s="1" t="s">
        <v>10</v>
      </c>
      <c r="D9" s="1" t="s">
        <v>24</v>
      </c>
      <c r="E9" s="1" t="str">
        <f>_xlfn.XLOOKUP(Table4[[#This Row],[Category]],Table3[Category],Table3[Type],"",0,1)</f>
        <v>Expense</v>
      </c>
      <c r="F9" s="3">
        <v>45308</v>
      </c>
      <c r="G9" s="1">
        <f>MONTH(Table4[[#This Row],[Date]])</f>
        <v>1</v>
      </c>
      <c r="I9">
        <f>MATCH(B9,Dicionary!$G$1:$I$1,0)</f>
        <v>2</v>
      </c>
      <c r="J9" t="str">
        <f>CHOOSE(I9,Dicionary!$H$2,Dicionary!$H$3,Dicionary!$H$4,)</f>
        <v>Credit card</v>
      </c>
    </row>
    <row r="10" spans="1:10" x14ac:dyDescent="0.25">
      <c r="A10" s="2">
        <v>250</v>
      </c>
      <c r="B10" s="1" t="s">
        <v>11</v>
      </c>
      <c r="C10" s="1" t="s">
        <v>12</v>
      </c>
      <c r="D10" s="1" t="s">
        <v>25</v>
      </c>
      <c r="E10" s="1" t="str">
        <f>_xlfn.XLOOKUP(Table4[[#This Row],[Category]],Table3[Category],Table3[Type],"",0,1)</f>
        <v>Income</v>
      </c>
      <c r="F10" s="3">
        <v>45308</v>
      </c>
      <c r="G10" s="1">
        <f>MONTH(Table4[[#This Row],[Date]])</f>
        <v>1</v>
      </c>
      <c r="I10">
        <f>MATCH(B10,Dicionary!$G$1:$I$1,0)</f>
        <v>1</v>
      </c>
      <c r="J10" t="str">
        <f>CHOOSE(I10,Dicionary!$H$2,Dicionary!$H$3,Dicionary!$H$4,)</f>
        <v>Account</v>
      </c>
    </row>
    <row r="11" spans="1:10" x14ac:dyDescent="0.25">
      <c r="A11" s="2">
        <v>-25</v>
      </c>
      <c r="B11" s="1" t="s">
        <v>7</v>
      </c>
      <c r="C11" s="1" t="s">
        <v>9</v>
      </c>
      <c r="D11" s="1" t="s">
        <v>20</v>
      </c>
      <c r="E11" s="1" t="str">
        <f>_xlfn.XLOOKUP(Table4[[#This Row],[Category]],Table3[Category],Table3[Type],"",0,1)</f>
        <v>Expense</v>
      </c>
      <c r="F11" s="3">
        <v>45310</v>
      </c>
      <c r="G11" s="1">
        <f>MONTH(Table4[[#This Row],[Date]])</f>
        <v>1</v>
      </c>
      <c r="I11">
        <f>MATCH(B11,Dicionary!$G$1:$I$1,0)</f>
        <v>2</v>
      </c>
      <c r="J11" t="str">
        <f>CHOOSE(I11,Dicionary!$H$2,Dicionary!$H$3,Dicionary!$H$4,)</f>
        <v>Credit card</v>
      </c>
    </row>
    <row r="12" spans="1:10" x14ac:dyDescent="0.25">
      <c r="A12" s="2">
        <v>-80</v>
      </c>
      <c r="B12" s="1" t="s">
        <v>7</v>
      </c>
      <c r="C12" s="1" t="s">
        <v>8</v>
      </c>
      <c r="D12" s="1" t="s">
        <v>16</v>
      </c>
      <c r="E12" s="1" t="str">
        <f>_xlfn.XLOOKUP(Table4[[#This Row],[Category]],Table3[Category],Table3[Type],"",0,1)</f>
        <v>Expense</v>
      </c>
      <c r="F12" s="3">
        <v>45311</v>
      </c>
      <c r="G12" s="1">
        <f>MONTH(Table4[[#This Row],[Date]])</f>
        <v>1</v>
      </c>
      <c r="I12">
        <f>MATCH(B12,Dicionary!$G$1:$I$1,0)</f>
        <v>2</v>
      </c>
      <c r="J12" t="str">
        <f>CHOOSE(I12,Dicionary!$H$2,Dicionary!$H$3,Dicionary!$H$4,)</f>
        <v>Credit card</v>
      </c>
    </row>
    <row r="13" spans="1:10" x14ac:dyDescent="0.25">
      <c r="A13" s="2">
        <v>150</v>
      </c>
      <c r="B13" s="1" t="s">
        <v>11</v>
      </c>
      <c r="C13" s="1" t="s">
        <v>8</v>
      </c>
      <c r="D13" s="1" t="s">
        <v>30</v>
      </c>
      <c r="E13" s="1" t="str">
        <f>_xlfn.XLOOKUP(Table4[[#This Row],[Category]],Table3[Category],Table3[Type],"",0,1)</f>
        <v>Income</v>
      </c>
      <c r="F13" s="3">
        <v>45312</v>
      </c>
      <c r="G13" s="1">
        <f>MONTH(Table4[[#This Row],[Date]])</f>
        <v>1</v>
      </c>
      <c r="I13">
        <f>MATCH(B13,Dicionary!$G$1:$I$1,0)</f>
        <v>1</v>
      </c>
      <c r="J13" t="str">
        <f>CHOOSE(I13,Dicionary!$H$2,Dicionary!$H$3,Dicionary!$H$4,)</f>
        <v>Account</v>
      </c>
    </row>
    <row r="14" spans="1:10" x14ac:dyDescent="0.25">
      <c r="A14" s="2">
        <v>-80</v>
      </c>
      <c r="B14" s="1" t="s">
        <v>11</v>
      </c>
      <c r="C14" s="1" t="s">
        <v>8</v>
      </c>
      <c r="D14" s="1" t="s">
        <v>22</v>
      </c>
      <c r="E14" s="1" t="str">
        <f>_xlfn.XLOOKUP(Table4[[#This Row],[Category]],Table3[Category],Table3[Type],"",0,1)</f>
        <v>Expense</v>
      </c>
      <c r="F14" s="3">
        <v>45313</v>
      </c>
      <c r="G14" s="1">
        <f>MONTH(Table4[[#This Row],[Date]])</f>
        <v>1</v>
      </c>
      <c r="I14">
        <f>MATCH(B14,Dicionary!$G$1:$I$1,0)</f>
        <v>1</v>
      </c>
      <c r="J14" t="str">
        <f>CHOOSE(I14,Dicionary!$H$2,Dicionary!$H$3,Dicionary!$H$4,)</f>
        <v>Account</v>
      </c>
    </row>
    <row r="15" spans="1:10" x14ac:dyDescent="0.25">
      <c r="A15" s="2">
        <v>-60</v>
      </c>
      <c r="B15" s="1" t="s">
        <v>11</v>
      </c>
      <c r="C15" s="1" t="s">
        <v>8</v>
      </c>
      <c r="D15" s="1" t="s">
        <v>20</v>
      </c>
      <c r="E15" s="1" t="str">
        <f>_xlfn.XLOOKUP(Table4[[#This Row],[Category]],Table3[Category],Table3[Type],"",0,1)</f>
        <v>Expense</v>
      </c>
      <c r="F15" s="3">
        <v>45314</v>
      </c>
      <c r="G15" s="1">
        <f>MONTH(Table4[[#This Row],[Date]])</f>
        <v>1</v>
      </c>
      <c r="I15">
        <f>MATCH(B15,Dicionary!$G$1:$I$1,0)</f>
        <v>1</v>
      </c>
      <c r="J15" t="str">
        <f>CHOOSE(I15,Dicionary!$H$2,Dicionary!$H$3,Dicionary!$H$4,)</f>
        <v>Account</v>
      </c>
    </row>
    <row r="16" spans="1:10" x14ac:dyDescent="0.25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_xlfn.XLOOKUP(Table4[[#This Row],[Category]],Table3[Category],Table3[Type],"",0,1)</f>
        <v>Expense</v>
      </c>
      <c r="F16" s="3">
        <v>45315</v>
      </c>
      <c r="G16" s="1">
        <f>MONTH(Table4[[#This Row],[Date]])</f>
        <v>1</v>
      </c>
      <c r="I16">
        <f>MATCH(B16,Dicionary!$G$1:$I$1,0)</f>
        <v>2</v>
      </c>
      <c r="J16" t="str">
        <f>CHOOSE(I16,Dicionary!$H$2,Dicionary!$H$3,Dicionary!$H$4,)</f>
        <v>Credit card</v>
      </c>
    </row>
    <row r="17" spans="1:10" x14ac:dyDescent="0.25">
      <c r="A17" s="2">
        <v>-50</v>
      </c>
      <c r="B17" s="1" t="s">
        <v>13</v>
      </c>
      <c r="C17" s="1" t="s">
        <v>15</v>
      </c>
      <c r="D17" s="1" t="s">
        <v>17</v>
      </c>
      <c r="E17" s="1" t="str">
        <f>_xlfn.XLOOKUP(Table4[[#This Row],[Category]],Table3[Category],Table3[Type],"",0,1)</f>
        <v>Expense</v>
      </c>
      <c r="F17" s="3">
        <v>45316</v>
      </c>
      <c r="G17" s="1">
        <f>MONTH(Table4[[#This Row],[Date]])</f>
        <v>1</v>
      </c>
      <c r="I17">
        <f>MATCH(B17,Dicionary!$G$1:$I$1,0)</f>
        <v>3</v>
      </c>
      <c r="J17" t="str">
        <f>CHOOSE(I17,Dicionary!$H$2,Dicionary!$H$3,Dicionary!$H$4,)</f>
        <v>Fixed-term deposit</v>
      </c>
    </row>
    <row r="18" spans="1:10" x14ac:dyDescent="0.25">
      <c r="A18" s="2">
        <v>150</v>
      </c>
      <c r="B18" s="1" t="s">
        <v>13</v>
      </c>
      <c r="C18" s="1" t="s">
        <v>14</v>
      </c>
      <c r="D18" s="1" t="s">
        <v>30</v>
      </c>
      <c r="E18" s="1" t="str">
        <f>_xlfn.XLOOKUP(Table4[[#This Row],[Category]],Table3[Category],Table3[Type],"",0,1)</f>
        <v>Income</v>
      </c>
      <c r="F18" s="3">
        <v>45316</v>
      </c>
      <c r="G18" s="1">
        <f>MONTH(Table4[[#This Row],[Date]])</f>
        <v>1</v>
      </c>
      <c r="I18">
        <f>MATCH(B18,Dicionary!$G$1:$I$1,0)</f>
        <v>3</v>
      </c>
      <c r="J18" t="str">
        <f>CHOOSE(I18,Dicionary!$H$2,Dicionary!$H$3,Dicionary!$H$4,)</f>
        <v>Fixed-term deposit</v>
      </c>
    </row>
    <row r="19" spans="1:10" x14ac:dyDescent="0.25">
      <c r="A19" s="2">
        <v>5.5</v>
      </c>
      <c r="B19" s="1" t="s">
        <v>11</v>
      </c>
      <c r="C19" s="1" t="s">
        <v>12</v>
      </c>
      <c r="D19" s="1" t="s">
        <v>28</v>
      </c>
      <c r="E19" s="1" t="str">
        <f>_xlfn.XLOOKUP(Table4[[#This Row],[Category]],Table3[Category],Table3[Type],"",0,1)</f>
        <v>Income</v>
      </c>
      <c r="F19" s="3">
        <v>45317</v>
      </c>
      <c r="G19" s="1">
        <f>MONTH(Table4[[#This Row],[Date]])</f>
        <v>1</v>
      </c>
      <c r="I19">
        <f>MATCH(B19,Dicionary!$G$1:$I$1,0)</f>
        <v>1</v>
      </c>
      <c r="J19" t="str">
        <f>CHOOSE(I19,Dicionary!$H$2,Dicionary!$H$3,Dicionary!$H$4,)</f>
        <v>Account</v>
      </c>
    </row>
    <row r="20" spans="1:10" x14ac:dyDescent="0.25">
      <c r="A20" s="2">
        <v>100</v>
      </c>
      <c r="B20" s="1" t="s">
        <v>7</v>
      </c>
      <c r="C20" s="1" t="s">
        <v>10</v>
      </c>
      <c r="D20" s="1" t="s">
        <v>28</v>
      </c>
      <c r="E20" s="1" t="str">
        <f>_xlfn.XLOOKUP(Table4[[#This Row],[Category]],Table3[Category],Table3[Type],"",0,1)</f>
        <v>Income</v>
      </c>
      <c r="F20" s="3">
        <v>45318</v>
      </c>
      <c r="G20" s="1">
        <f>MONTH(Table4[[#This Row],[Date]])</f>
        <v>1</v>
      </c>
      <c r="I20">
        <f>MATCH(B20,Dicionary!$G$1:$I$1,0)</f>
        <v>2</v>
      </c>
      <c r="J20" t="str">
        <f>CHOOSE(I20,Dicionary!$H$2,Dicionary!$H$3,Dicionary!$H$4,)</f>
        <v>Credit card</v>
      </c>
    </row>
    <row r="21" spans="1:10" x14ac:dyDescent="0.25">
      <c r="A21" s="2">
        <v>-100</v>
      </c>
      <c r="B21" s="1" t="s">
        <v>7</v>
      </c>
      <c r="C21" s="1" t="s">
        <v>8</v>
      </c>
      <c r="D21" s="1" t="s">
        <v>21</v>
      </c>
      <c r="E21" s="1" t="str">
        <f>_xlfn.XLOOKUP(Table4[[#This Row],[Category]],Table3[Category],Table3[Type],"",0,1)</f>
        <v>Expense</v>
      </c>
      <c r="F21" s="3">
        <v>45319</v>
      </c>
      <c r="G21" s="1">
        <f>MONTH(Table4[[#This Row],[Date]])</f>
        <v>1</v>
      </c>
      <c r="I21">
        <f>MATCH(B21,Dicionary!$G$1:$I$1,0)</f>
        <v>2</v>
      </c>
      <c r="J21" t="str">
        <f>CHOOSE(I21,Dicionary!$H$2,Dicionary!$H$3,Dicionary!$H$4,)</f>
        <v>Credit card</v>
      </c>
    </row>
    <row r="22" spans="1:10" x14ac:dyDescent="0.25">
      <c r="A22" s="2">
        <v>200</v>
      </c>
      <c r="B22" s="1" t="s">
        <v>11</v>
      </c>
      <c r="C22" s="1" t="s">
        <v>8</v>
      </c>
      <c r="D22" s="1" t="s">
        <v>30</v>
      </c>
      <c r="E22" s="1" t="str">
        <f>_xlfn.XLOOKUP(Table4[[#This Row],[Category]],Table3[Category],Table3[Type],"",0,1)</f>
        <v>Income</v>
      </c>
      <c r="F22" s="3">
        <v>45324</v>
      </c>
      <c r="G22" s="1">
        <f>MONTH(Table4[[#This Row],[Date]])</f>
        <v>2</v>
      </c>
      <c r="I22">
        <f>MATCH(B22,Dicionary!$G$1:$I$1,0)</f>
        <v>1</v>
      </c>
      <c r="J22" t="str">
        <f>CHOOSE(I22,Dicionary!$H$2,Dicionary!$H$3,Dicionary!$H$4,)</f>
        <v>Account</v>
      </c>
    </row>
    <row r="23" spans="1:10" x14ac:dyDescent="0.25">
      <c r="A23" s="2">
        <v>-15</v>
      </c>
      <c r="B23" s="1" t="s">
        <v>11</v>
      </c>
      <c r="C23" s="1" t="s">
        <v>8</v>
      </c>
      <c r="D23" s="1" t="s">
        <v>24</v>
      </c>
      <c r="E23" s="1" t="str">
        <f>_xlfn.XLOOKUP(Table4[[#This Row],[Category]],Table3[Category],Table3[Type],"",0,1)</f>
        <v>Expense</v>
      </c>
      <c r="F23" s="3">
        <v>45326</v>
      </c>
      <c r="G23" s="1">
        <f>MONTH(Table4[[#This Row],[Date]])</f>
        <v>2</v>
      </c>
      <c r="I23">
        <f>MATCH(B23,Dicionary!$G$1:$I$1,0)</f>
        <v>1</v>
      </c>
      <c r="J23" t="str">
        <f>CHOOSE(I23,Dicionary!$H$2,Dicionary!$H$3,Dicionary!$H$4,)</f>
        <v>Account</v>
      </c>
    </row>
    <row r="24" spans="1:10" x14ac:dyDescent="0.25">
      <c r="A24" s="2">
        <v>-5.5</v>
      </c>
      <c r="B24" s="1" t="s">
        <v>7</v>
      </c>
      <c r="C24" s="1" t="s">
        <v>8</v>
      </c>
      <c r="D24" s="1" t="s">
        <v>17</v>
      </c>
      <c r="E24" s="1" t="str">
        <f>_xlfn.XLOOKUP(Table4[[#This Row],[Category]],Table3[Category],Table3[Type],"",0,1)</f>
        <v>Expense</v>
      </c>
      <c r="F24" s="3">
        <v>45328</v>
      </c>
      <c r="G24" s="1">
        <f>MONTH(Table4[[#This Row],[Date]])</f>
        <v>2</v>
      </c>
      <c r="I24">
        <f>MATCH(B24,Dicionary!$G$1:$I$1,0)</f>
        <v>2</v>
      </c>
      <c r="J24" t="str">
        <f>CHOOSE(I24,Dicionary!$H$2,Dicionary!$H$3,Dicionary!$H$4,)</f>
        <v>Credit card</v>
      </c>
    </row>
    <row r="25" spans="1:10" x14ac:dyDescent="0.25">
      <c r="A25" s="2">
        <v>4500</v>
      </c>
      <c r="B25" s="1" t="s">
        <v>7</v>
      </c>
      <c r="C25" s="1" t="s">
        <v>8</v>
      </c>
      <c r="D25" s="1" t="s">
        <v>26</v>
      </c>
      <c r="E25" s="1" t="str">
        <f>_xlfn.XLOOKUP(Table4[[#This Row],[Category]],Table3[Category],Table3[Type],"",0,1)</f>
        <v>Income</v>
      </c>
      <c r="F25" s="3">
        <v>45332</v>
      </c>
      <c r="G25" s="1">
        <f>MONTH(Table4[[#This Row],[Date]])</f>
        <v>2</v>
      </c>
      <c r="I25">
        <f>MATCH(B25,Dicionary!$G$1:$I$1,0)</f>
        <v>2</v>
      </c>
      <c r="J25" t="str">
        <f>CHOOSE(I25,Dicionary!$H$2,Dicionary!$H$3,Dicionary!$H$4,)</f>
        <v>Credit card</v>
      </c>
    </row>
    <row r="26" spans="1:10" x14ac:dyDescent="0.25">
      <c r="A26" s="2">
        <v>-2000</v>
      </c>
      <c r="B26" s="1" t="s">
        <v>7</v>
      </c>
      <c r="C26" s="1" t="s">
        <v>8</v>
      </c>
      <c r="D26" s="1" t="s">
        <v>18</v>
      </c>
      <c r="E26" s="1" t="str">
        <f>_xlfn.XLOOKUP(Table4[[#This Row],[Category]],Table3[Category],Table3[Type],"",0,1)</f>
        <v>Expense</v>
      </c>
      <c r="F26" s="3">
        <v>45333</v>
      </c>
      <c r="G26" s="1">
        <f>MONTH(Table4[[#This Row],[Date]])</f>
        <v>2</v>
      </c>
      <c r="I26">
        <f>MATCH(B26,Dicionary!$G$1:$I$1,0)</f>
        <v>2</v>
      </c>
      <c r="J26" t="str">
        <f>CHOOSE(I26,Dicionary!$H$2,Dicionary!$H$3,Dicionary!$H$4,)</f>
        <v>Credit card</v>
      </c>
    </row>
    <row r="27" spans="1:10" x14ac:dyDescent="0.25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_xlfn.XLOOKUP(Table4[[#This Row],[Category]],Table3[Category],Table3[Type],"",0,1)</f>
        <v>Expense</v>
      </c>
      <c r="F27" s="3">
        <v>45335</v>
      </c>
      <c r="G27" s="1">
        <f>MONTH(Table4[[#This Row],[Date]])</f>
        <v>2</v>
      </c>
    </row>
    <row r="28" spans="1:10" x14ac:dyDescent="0.25">
      <c r="A28" s="2">
        <v>500</v>
      </c>
      <c r="B28" s="1" t="s">
        <v>7</v>
      </c>
      <c r="C28" s="1" t="s">
        <v>8</v>
      </c>
      <c r="D28" s="1" t="s">
        <v>30</v>
      </c>
      <c r="E28" s="1" t="str">
        <f>_xlfn.XLOOKUP(Table4[[#This Row],[Category]],Table3[Category],Table3[Type],"",0,1)</f>
        <v>Income</v>
      </c>
      <c r="F28" s="3">
        <v>45336</v>
      </c>
      <c r="G28" s="1">
        <f>MONTH(Table4[[#This Row],[Date]])</f>
        <v>2</v>
      </c>
    </row>
    <row r="29" spans="1:10" x14ac:dyDescent="0.25">
      <c r="A29" s="2">
        <v>-300</v>
      </c>
      <c r="B29" s="1" t="s">
        <v>7</v>
      </c>
      <c r="C29" s="1" t="s">
        <v>8</v>
      </c>
      <c r="D29" s="1" t="s">
        <v>17</v>
      </c>
      <c r="E29" s="1" t="str">
        <f>_xlfn.XLOOKUP(Table4[[#This Row],[Category]],Table3[Category],Table3[Type],"",0,1)</f>
        <v>Expense</v>
      </c>
      <c r="F29" s="3">
        <v>45336</v>
      </c>
      <c r="G29" s="1">
        <f>MONTH(Table4[[#This Row],[Date]])</f>
        <v>2</v>
      </c>
    </row>
    <row r="30" spans="1:10" x14ac:dyDescent="0.25">
      <c r="A30" s="2">
        <v>-500</v>
      </c>
      <c r="B30" s="1" t="s">
        <v>7</v>
      </c>
      <c r="C30" s="1" t="s">
        <v>10</v>
      </c>
      <c r="D30" s="1" t="s">
        <v>24</v>
      </c>
      <c r="E30" s="1" t="str">
        <f>_xlfn.XLOOKUP(Table4[[#This Row],[Category]],Table3[Category],Table3[Type],"",0,1)</f>
        <v>Expense</v>
      </c>
      <c r="F30" s="3">
        <v>45336</v>
      </c>
      <c r="G30" s="1">
        <f>MONTH(Table4[[#This Row],[Date]])</f>
        <v>2</v>
      </c>
    </row>
    <row r="31" spans="1:10" x14ac:dyDescent="0.25">
      <c r="A31" s="2">
        <v>-200</v>
      </c>
      <c r="B31" s="1" t="s">
        <v>13</v>
      </c>
      <c r="C31" s="1" t="s">
        <v>14</v>
      </c>
      <c r="D31" s="1" t="s">
        <v>24</v>
      </c>
      <c r="E31" s="1" t="str">
        <f>_xlfn.XLOOKUP(Table4[[#This Row],[Category]],Table3[Category],Table3[Type],"",0,1)</f>
        <v>Expense</v>
      </c>
      <c r="F31" s="3">
        <v>45336</v>
      </c>
      <c r="G31" s="1">
        <f>MONTH(Table4[[#This Row],[Date]])</f>
        <v>2</v>
      </c>
    </row>
    <row r="32" spans="1:10" x14ac:dyDescent="0.25">
      <c r="A32" s="2">
        <v>175</v>
      </c>
      <c r="B32" s="1" t="s">
        <v>7</v>
      </c>
      <c r="C32" s="1" t="s">
        <v>9</v>
      </c>
      <c r="D32" s="1" t="s">
        <v>31</v>
      </c>
      <c r="E32" s="1" t="str">
        <f>_xlfn.XLOOKUP(Table4[[#This Row],[Category]],Table3[Category],Table3[Type],"",0,1)</f>
        <v>Transfert</v>
      </c>
      <c r="F32" s="3">
        <v>45337</v>
      </c>
      <c r="G32" s="1">
        <f>MONTH(Table4[[#This Row],[Date]])</f>
        <v>2</v>
      </c>
    </row>
    <row r="33" spans="1:7" x14ac:dyDescent="0.25">
      <c r="A33" s="2">
        <v>-175</v>
      </c>
      <c r="B33" s="1" t="s">
        <v>7</v>
      </c>
      <c r="C33" s="1" t="s">
        <v>8</v>
      </c>
      <c r="D33" s="1" t="s">
        <v>31</v>
      </c>
      <c r="E33" s="1" t="str">
        <f>_xlfn.XLOOKUP(Table4[[#This Row],[Category]],Table3[Category],Table3[Type],"",0,1)</f>
        <v>Transfert</v>
      </c>
      <c r="F33" s="3">
        <v>45337</v>
      </c>
      <c r="G33" s="1">
        <f>MONTH(Table4[[#This Row],[Date]])</f>
        <v>2</v>
      </c>
    </row>
    <row r="34" spans="1:7" x14ac:dyDescent="0.25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_xlfn.XLOOKUP(Table4[[#This Row],[Category]],Table3[Category],Table3[Type],"",0,1)</f>
        <v>Expense</v>
      </c>
      <c r="F34" s="3">
        <v>45339</v>
      </c>
      <c r="G34" s="1">
        <f>MONTH(Table4[[#This Row],[Date]])</f>
        <v>2</v>
      </c>
    </row>
    <row r="35" spans="1:7" x14ac:dyDescent="0.25">
      <c r="A35" s="2">
        <v>-80</v>
      </c>
      <c r="B35" s="1" t="s">
        <v>7</v>
      </c>
      <c r="C35" s="1" t="s">
        <v>8</v>
      </c>
      <c r="D35" s="1" t="s">
        <v>16</v>
      </c>
      <c r="E35" s="1" t="str">
        <f>_xlfn.XLOOKUP(Table4[[#This Row],[Category]],Table3[Category],Table3[Type],"",0,1)</f>
        <v>Expense</v>
      </c>
      <c r="F35" s="3">
        <v>45342</v>
      </c>
      <c r="G35" s="1">
        <f>MONTH(Table4[[#This Row],[Date]])</f>
        <v>2</v>
      </c>
    </row>
    <row r="36" spans="1:7" x14ac:dyDescent="0.25">
      <c r="A36" s="2">
        <v>150</v>
      </c>
      <c r="B36" s="1" t="s">
        <v>13</v>
      </c>
      <c r="C36" s="1" t="s">
        <v>14</v>
      </c>
      <c r="D36" s="1" t="s">
        <v>30</v>
      </c>
      <c r="E36" s="1" t="str">
        <f>_xlfn.XLOOKUP(Table4[[#This Row],[Category]],Table3[Category],Table3[Type],"",0,1)</f>
        <v>Income</v>
      </c>
      <c r="F36" s="3">
        <v>45344</v>
      </c>
      <c r="G36" s="1">
        <f>MONTH(Table4[[#This Row],[Date]])</f>
        <v>2</v>
      </c>
    </row>
    <row r="37" spans="1:7" x14ac:dyDescent="0.25">
      <c r="A37" s="2">
        <v>100</v>
      </c>
      <c r="B37" s="1" t="s">
        <v>13</v>
      </c>
      <c r="C37" s="1" t="s">
        <v>15</v>
      </c>
      <c r="D37" s="1" t="s">
        <v>30</v>
      </c>
      <c r="E37" s="1" t="str">
        <f>_xlfn.XLOOKUP(Table4[[#This Row],[Category]],Table3[Category],Table3[Type],"",0,1)</f>
        <v>Income</v>
      </c>
      <c r="F37" s="3">
        <v>45345</v>
      </c>
      <c r="G37" s="1">
        <f>MONTH(Table4[[#This Row],[Date]])</f>
        <v>2</v>
      </c>
    </row>
    <row r="38" spans="1:7" x14ac:dyDescent="0.25">
      <c r="A38" s="2">
        <v>-200</v>
      </c>
      <c r="B38" s="1" t="s">
        <v>13</v>
      </c>
      <c r="C38" s="1" t="s">
        <v>14</v>
      </c>
      <c r="D38" s="1" t="s">
        <v>20</v>
      </c>
      <c r="E38" s="1" t="str">
        <f>_xlfn.XLOOKUP(Table4[[#This Row],[Category]],Table3[Category],Table3[Type],"",0,1)</f>
        <v>Expense</v>
      </c>
      <c r="F38" s="3">
        <v>45346</v>
      </c>
      <c r="G38" s="1">
        <f>MONTH(Table4[[#This Row],[Date]])</f>
        <v>2</v>
      </c>
    </row>
    <row r="39" spans="1:7" x14ac:dyDescent="0.25">
      <c r="A39" s="2">
        <v>1000</v>
      </c>
      <c r="B39" s="1" t="s">
        <v>13</v>
      </c>
      <c r="C39" s="1" t="s">
        <v>14</v>
      </c>
      <c r="D39" s="1" t="s">
        <v>30</v>
      </c>
      <c r="E39" s="1" t="str">
        <f>_xlfn.XLOOKUP(Table4[[#This Row],[Category]],Table3[Category],Table3[Type],"",0,1)</f>
        <v>Income</v>
      </c>
      <c r="F39" s="3">
        <v>45347</v>
      </c>
      <c r="G39" s="1">
        <f>MONTH(Table4[[#This Row],[Date]])</f>
        <v>2</v>
      </c>
    </row>
    <row r="40" spans="1:7" x14ac:dyDescent="0.25">
      <c r="A40" s="2">
        <v>-250</v>
      </c>
      <c r="B40" s="1" t="s">
        <v>13</v>
      </c>
      <c r="C40" s="1" t="s">
        <v>14</v>
      </c>
      <c r="D40" s="1" t="s">
        <v>21</v>
      </c>
      <c r="E40" s="1" t="str">
        <f>_xlfn.XLOOKUP(Table4[[#This Row],[Category]],Table3[Category],Table3[Type],"",0,1)</f>
        <v>Expense</v>
      </c>
      <c r="F40" s="3">
        <v>45347</v>
      </c>
      <c r="G40" s="1">
        <f>MONTH(Table4[[#This Row],[Date]])</f>
        <v>2</v>
      </c>
    </row>
    <row r="41" spans="1:7" x14ac:dyDescent="0.25">
      <c r="A41" s="2">
        <v>-100</v>
      </c>
      <c r="B41" s="1" t="s">
        <v>11</v>
      </c>
      <c r="C41" s="1" t="s">
        <v>8</v>
      </c>
      <c r="D41" s="1" t="s">
        <v>17</v>
      </c>
      <c r="E41" s="1" t="str">
        <f>_xlfn.XLOOKUP(Table4[[#This Row],[Category]],Table3[Category],Table3[Type],"",0,1)</f>
        <v>Expense</v>
      </c>
      <c r="F41" s="3">
        <v>45348</v>
      </c>
      <c r="G41" s="1">
        <f>MONTH(Table4[[#This Row],[Date]])</f>
        <v>2</v>
      </c>
    </row>
    <row r="42" spans="1:7" x14ac:dyDescent="0.25">
      <c r="A42" s="2">
        <v>-50</v>
      </c>
      <c r="B42" s="1" t="s">
        <v>11</v>
      </c>
      <c r="C42" s="1" t="s">
        <v>8</v>
      </c>
      <c r="D42" s="1" t="s">
        <v>24</v>
      </c>
      <c r="E42" s="1" t="str">
        <f>_xlfn.XLOOKUP(Table4[[#This Row],[Category]],Table3[Category],Table3[Type],"",0,1)</f>
        <v>Expense</v>
      </c>
      <c r="F42" s="3">
        <v>45348</v>
      </c>
      <c r="G42" s="1">
        <f>MONTH(Table4[[#This Row],[Date]])</f>
        <v>2</v>
      </c>
    </row>
    <row r="43" spans="1:7" x14ac:dyDescent="0.25">
      <c r="A43" s="2">
        <v>15</v>
      </c>
      <c r="B43" s="1" t="s">
        <v>11</v>
      </c>
      <c r="C43" s="1" t="s">
        <v>12</v>
      </c>
      <c r="D43" s="1" t="s">
        <v>28</v>
      </c>
      <c r="E43" s="1" t="str">
        <f>_xlfn.XLOOKUP(Table4[[#This Row],[Category]],Table3[Category],Table3[Type],"",0,1)</f>
        <v>Income</v>
      </c>
      <c r="F43" s="3">
        <v>45349</v>
      </c>
      <c r="G43" s="1">
        <f>MONTH(Table4[[#This Row],[Date]])</f>
        <v>2</v>
      </c>
    </row>
    <row r="44" spans="1:7" x14ac:dyDescent="0.25">
      <c r="A44" s="2">
        <v>-150</v>
      </c>
      <c r="B44" s="1" t="s">
        <v>7</v>
      </c>
      <c r="C44" s="1" t="s">
        <v>8</v>
      </c>
      <c r="D44" s="1" t="s">
        <v>19</v>
      </c>
      <c r="E44" s="1" t="str">
        <f>_xlfn.XLOOKUP(Table4[[#This Row],[Category]],Table3[Category],Table3[Type],"",0,1)</f>
        <v>Expense</v>
      </c>
      <c r="F44" s="3">
        <v>45350</v>
      </c>
      <c r="G44" s="1">
        <f>MONTH(Table4[[#This Row],[Date]])</f>
        <v>2</v>
      </c>
    </row>
    <row r="45" spans="1:7" x14ac:dyDescent="0.25">
      <c r="A45" s="2">
        <v>100</v>
      </c>
      <c r="B45" s="1" t="s">
        <v>7</v>
      </c>
      <c r="C45" s="1" t="s">
        <v>10</v>
      </c>
      <c r="D45" s="1" t="s">
        <v>28</v>
      </c>
      <c r="E45" s="1" t="str">
        <f>_xlfn.XLOOKUP(Table4[[#This Row],[Category]],Table3[Category],Table3[Type],"",0,1)</f>
        <v>Income</v>
      </c>
      <c r="F45" s="3">
        <v>45350</v>
      </c>
      <c r="G45" s="1">
        <f>MONTH(Table4[[#This Row],[Date]])</f>
        <v>2</v>
      </c>
    </row>
    <row r="46" spans="1:7" x14ac:dyDescent="0.25">
      <c r="A46" s="2">
        <v>-25</v>
      </c>
      <c r="B46" s="1" t="s">
        <v>7</v>
      </c>
      <c r="C46" s="1" t="s">
        <v>9</v>
      </c>
      <c r="D46" s="1" t="s">
        <v>17</v>
      </c>
      <c r="E46" s="1" t="str">
        <f>_xlfn.XLOOKUP(Table4[[#This Row],[Category]],Table3[Category],Table3[Type],"",0,1)</f>
        <v>Expense</v>
      </c>
      <c r="F46" s="3">
        <v>45352</v>
      </c>
      <c r="G46" s="1">
        <f>MONTH(Table4[[#This Row],[Date]])</f>
        <v>3</v>
      </c>
    </row>
    <row r="47" spans="1:7" x14ac:dyDescent="0.25">
      <c r="A47" s="2">
        <v>-135.5</v>
      </c>
      <c r="B47" s="1" t="s">
        <v>7</v>
      </c>
      <c r="C47" s="1" t="s">
        <v>8</v>
      </c>
      <c r="D47" s="1" t="s">
        <v>17</v>
      </c>
      <c r="E47" s="1" t="str">
        <f>_xlfn.XLOOKUP(Table4[[#This Row],[Category]],Table3[Category],Table3[Type],"",0,1)</f>
        <v>Expense</v>
      </c>
      <c r="F47" s="3">
        <v>45353</v>
      </c>
      <c r="G47" s="1">
        <f>MONTH(Table4[[#This Row],[Date]])</f>
        <v>3</v>
      </c>
    </row>
    <row r="48" spans="1:7" x14ac:dyDescent="0.25">
      <c r="A48" s="2">
        <v>-82.5</v>
      </c>
      <c r="B48" s="1" t="s">
        <v>11</v>
      </c>
      <c r="C48" s="1" t="s">
        <v>8</v>
      </c>
      <c r="D48" s="1" t="s">
        <v>16</v>
      </c>
      <c r="E48" s="1" t="str">
        <f>_xlfn.XLOOKUP(Table4[[#This Row],[Category]],Table3[Category],Table3[Type],"",0,1)</f>
        <v>Expense</v>
      </c>
      <c r="F48" s="3">
        <v>45353</v>
      </c>
      <c r="G48" s="1">
        <f>MONTH(Table4[[#This Row],[Date]])</f>
        <v>3</v>
      </c>
    </row>
    <row r="49" spans="1:7" x14ac:dyDescent="0.25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_xlfn.XLOOKUP(Table4[[#This Row],[Category]],Table3[Category],Table3[Type],"",0,1)</f>
        <v>Expense</v>
      </c>
      <c r="F49" s="3">
        <v>45355</v>
      </c>
      <c r="G49" s="1">
        <f>MONTH(Table4[[#This Row],[Date]])</f>
        <v>3</v>
      </c>
    </row>
    <row r="50" spans="1:7" x14ac:dyDescent="0.25">
      <c r="A50" s="2">
        <v>150</v>
      </c>
      <c r="B50" s="1" t="s">
        <v>11</v>
      </c>
      <c r="C50" s="1" t="s">
        <v>8</v>
      </c>
      <c r="D50" s="1" t="s">
        <v>28</v>
      </c>
      <c r="E50" s="1" t="str">
        <f>_xlfn.XLOOKUP(Table4[[#This Row],[Category]],Table3[Category],Table3[Type],"",0,1)</f>
        <v>Income</v>
      </c>
      <c r="F50" s="3">
        <v>45357</v>
      </c>
      <c r="G50" s="1">
        <f>MONTH(Table4[[#This Row],[Date]])</f>
        <v>3</v>
      </c>
    </row>
    <row r="51" spans="1:7" x14ac:dyDescent="0.25">
      <c r="A51" s="2">
        <v>-24.49</v>
      </c>
      <c r="B51" s="1" t="s">
        <v>13</v>
      </c>
      <c r="C51" s="1" t="s">
        <v>15</v>
      </c>
      <c r="D51" s="1" t="s">
        <v>17</v>
      </c>
      <c r="E51" s="1" t="str">
        <f>_xlfn.XLOOKUP(Table4[[#This Row],[Category]],Table3[Category],Table3[Type],"",0,1)</f>
        <v>Expense</v>
      </c>
      <c r="F51" s="3">
        <v>45359</v>
      </c>
      <c r="G51" s="1">
        <f>MONTH(Table4[[#This Row],[Date]])</f>
        <v>3</v>
      </c>
    </row>
    <row r="52" spans="1:7" x14ac:dyDescent="0.25">
      <c r="A52" s="2">
        <v>4500</v>
      </c>
      <c r="B52" s="1" t="s">
        <v>7</v>
      </c>
      <c r="C52" s="1" t="s">
        <v>8</v>
      </c>
      <c r="D52" s="1" t="s">
        <v>26</v>
      </c>
      <c r="E52" s="1" t="str">
        <f>_xlfn.XLOOKUP(Table4[[#This Row],[Category]],Table3[Category],Table3[Type],"",0,1)</f>
        <v>Income</v>
      </c>
      <c r="F52" s="3">
        <v>45361</v>
      </c>
      <c r="G52" s="1">
        <f>MONTH(Table4[[#This Row],[Date]])</f>
        <v>3</v>
      </c>
    </row>
    <row r="53" spans="1:7" x14ac:dyDescent="0.25">
      <c r="A53" s="2">
        <v>-2000</v>
      </c>
      <c r="B53" s="1" t="s">
        <v>7</v>
      </c>
      <c r="C53" s="1" t="s">
        <v>8</v>
      </c>
      <c r="D53" s="1" t="s">
        <v>18</v>
      </c>
      <c r="E53" s="1" t="str">
        <f>_xlfn.XLOOKUP(Table4[[#This Row],[Category]],Table3[Category],Table3[Type],"",0,1)</f>
        <v>Expense</v>
      </c>
      <c r="F53" s="3">
        <v>45362</v>
      </c>
      <c r="G53" s="1">
        <f>MONTH(Table4[[#This Row],[Date]])</f>
        <v>3</v>
      </c>
    </row>
    <row r="54" spans="1:7" x14ac:dyDescent="0.25">
      <c r="A54" s="2">
        <v>-200</v>
      </c>
      <c r="B54" s="1" t="s">
        <v>7</v>
      </c>
      <c r="C54" s="1" t="s">
        <v>8</v>
      </c>
      <c r="D54" s="1" t="s">
        <v>17</v>
      </c>
      <c r="E54" s="1" t="str">
        <f>_xlfn.XLOOKUP(Table4[[#This Row],[Category]],Table3[Category],Table3[Type],"",0,1)</f>
        <v>Expense</v>
      </c>
      <c r="F54" s="3">
        <v>45363</v>
      </c>
      <c r="G54" s="1">
        <f>MONTH(Table4[[#This Row],[Date]])</f>
        <v>3</v>
      </c>
    </row>
    <row r="55" spans="1:7" x14ac:dyDescent="0.25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_xlfn.XLOOKUP(Table4[[#This Row],[Category]],Table3[Category],Table3[Type],"",0,1)</f>
        <v>Expense</v>
      </c>
      <c r="F55" s="3">
        <v>45364</v>
      </c>
      <c r="G55" s="1">
        <f>MONTH(Table4[[#This Row],[Date]])</f>
        <v>3</v>
      </c>
    </row>
    <row r="56" spans="1:7" x14ac:dyDescent="0.25">
      <c r="A56" s="2">
        <v>-9.5</v>
      </c>
      <c r="B56" s="1" t="s">
        <v>13</v>
      </c>
      <c r="C56" s="1" t="s">
        <v>14</v>
      </c>
      <c r="D56" s="1" t="s">
        <v>21</v>
      </c>
      <c r="E56" s="1" t="str">
        <f>_xlfn.XLOOKUP(Table4[[#This Row],[Category]],Table3[Category],Table3[Type],"",0,1)</f>
        <v>Expense</v>
      </c>
      <c r="F56" s="3">
        <v>45368</v>
      </c>
      <c r="G56" s="1">
        <f>MONTH(Table4[[#This Row],[Date]])</f>
        <v>3</v>
      </c>
    </row>
    <row r="57" spans="1:7" x14ac:dyDescent="0.25">
      <c r="A57" s="2">
        <v>-23</v>
      </c>
      <c r="B57" s="1" t="s">
        <v>7</v>
      </c>
      <c r="C57" s="1" t="s">
        <v>8</v>
      </c>
      <c r="D57" s="1" t="s">
        <v>19</v>
      </c>
      <c r="E57" s="1" t="str">
        <f>_xlfn.XLOOKUP(Table4[[#This Row],[Category]],Table3[Category],Table3[Type],"",0,1)</f>
        <v>Expense</v>
      </c>
      <c r="F57" s="3">
        <v>45371</v>
      </c>
      <c r="G57" s="1">
        <f>MONTH(Table4[[#This Row],[Date]])</f>
        <v>3</v>
      </c>
    </row>
    <row r="58" spans="1:7" x14ac:dyDescent="0.25">
      <c r="A58" s="2">
        <v>-150</v>
      </c>
      <c r="B58" s="1" t="s">
        <v>7</v>
      </c>
      <c r="C58" s="1" t="s">
        <v>8</v>
      </c>
      <c r="D58" s="1" t="s">
        <v>17</v>
      </c>
      <c r="E58" s="1" t="str">
        <f>_xlfn.XLOOKUP(Table4[[#This Row],[Category]],Table3[Category],Table3[Type],"",0,1)</f>
        <v>Expense</v>
      </c>
      <c r="F58" s="3">
        <v>45373</v>
      </c>
      <c r="G58" s="1">
        <f>MONTH(Table4[[#This Row],[Date]])</f>
        <v>3</v>
      </c>
    </row>
    <row r="59" spans="1:7" x14ac:dyDescent="0.25">
      <c r="A59" s="2">
        <v>-300</v>
      </c>
      <c r="B59" s="1" t="s">
        <v>7</v>
      </c>
      <c r="C59" s="1" t="s">
        <v>8</v>
      </c>
      <c r="D59" s="1" t="s">
        <v>24</v>
      </c>
      <c r="E59" s="1" t="str">
        <f>_xlfn.XLOOKUP(Table4[[#This Row],[Category]],Table3[Category],Table3[Type],"",0,1)</f>
        <v>Expense</v>
      </c>
      <c r="F59" s="3">
        <v>45375</v>
      </c>
      <c r="G59" s="1">
        <f>MONTH(Table4[[#This Row],[Date]])</f>
        <v>3</v>
      </c>
    </row>
    <row r="60" spans="1:7" x14ac:dyDescent="0.25">
      <c r="A60" s="2">
        <v>5</v>
      </c>
      <c r="B60" s="1" t="s">
        <v>11</v>
      </c>
      <c r="C60" s="1" t="s">
        <v>12</v>
      </c>
      <c r="D60" s="1" t="s">
        <v>29</v>
      </c>
      <c r="E60" s="1" t="str">
        <f>_xlfn.XLOOKUP(Table4[[#This Row],[Category]],Table3[Category],Table3[Type],"",0,1)</f>
        <v>Income</v>
      </c>
      <c r="F60" s="3">
        <v>45377</v>
      </c>
      <c r="G60" s="1">
        <f>MONTH(Table4[[#This Row],[Date]])</f>
        <v>3</v>
      </c>
    </row>
    <row r="61" spans="1:7" x14ac:dyDescent="0.25">
      <c r="A61" s="2">
        <v>-79.5</v>
      </c>
      <c r="B61" s="1" t="s">
        <v>7</v>
      </c>
      <c r="C61" s="1" t="s">
        <v>9</v>
      </c>
      <c r="D61" s="1" t="s">
        <v>23</v>
      </c>
      <c r="E61" s="1" t="str">
        <f>_xlfn.XLOOKUP(Table4[[#This Row],[Category]],Table3[Category],Table3[Type],"",0,1)</f>
        <v>Expense</v>
      </c>
      <c r="F61" s="3">
        <v>45379</v>
      </c>
      <c r="G61" s="1">
        <f>MONTH(Table4[[#This Row],[Date]])</f>
        <v>3</v>
      </c>
    </row>
    <row r="62" spans="1:7" x14ac:dyDescent="0.25">
      <c r="A62" s="2">
        <v>-200</v>
      </c>
      <c r="B62" s="1" t="s">
        <v>7</v>
      </c>
      <c r="C62" s="1" t="s">
        <v>8</v>
      </c>
      <c r="D62" s="1" t="s">
        <v>17</v>
      </c>
      <c r="E62" s="1" t="str">
        <f>_xlfn.XLOOKUP(Table4[[#This Row],[Category]],Table3[Category],Table3[Type],"",0,1)</f>
        <v>Expense</v>
      </c>
      <c r="F62" s="3">
        <v>45381</v>
      </c>
      <c r="G62" s="1">
        <f>MONTH(Table4[[#This Row],[Date]])</f>
        <v>3</v>
      </c>
    </row>
    <row r="63" spans="1:7" x14ac:dyDescent="0.25">
      <c r="A63" s="2">
        <v>-23.5</v>
      </c>
      <c r="B63" s="1" t="s">
        <v>7</v>
      </c>
      <c r="C63" s="1" t="s">
        <v>9</v>
      </c>
      <c r="D63" s="1" t="s">
        <v>21</v>
      </c>
      <c r="E63" s="1" t="str">
        <f>_xlfn.XLOOKUP(Table4[[#This Row],[Category]],Table3[Category],Table3[Type],"",0,1)</f>
        <v>Expense</v>
      </c>
      <c r="F63" s="3">
        <v>45383</v>
      </c>
      <c r="G63" s="1">
        <f>MONTH(Table4[[#This Row],[Date]])</f>
        <v>4</v>
      </c>
    </row>
    <row r="64" spans="1:7" x14ac:dyDescent="0.25">
      <c r="A64" s="2">
        <v>-82.5</v>
      </c>
      <c r="B64" s="1" t="s">
        <v>7</v>
      </c>
      <c r="C64" s="1" t="s">
        <v>8</v>
      </c>
      <c r="D64" s="1" t="s">
        <v>16</v>
      </c>
      <c r="E64" s="1" t="str">
        <f>_xlfn.XLOOKUP(Table4[[#This Row],[Category]],Table3[Category],Table3[Type],"",0,1)</f>
        <v>Expense</v>
      </c>
      <c r="F64" s="3">
        <v>45384</v>
      </c>
      <c r="G64" s="1">
        <f>MONTH(Table4[[#This Row],[Date]])</f>
        <v>4</v>
      </c>
    </row>
    <row r="65" spans="1:7" x14ac:dyDescent="0.25">
      <c r="A65" s="2">
        <v>150</v>
      </c>
      <c r="B65" s="1" t="s">
        <v>11</v>
      </c>
      <c r="C65" s="1" t="s">
        <v>8</v>
      </c>
      <c r="D65" s="1" t="s">
        <v>28</v>
      </c>
      <c r="E65" s="1" t="str">
        <f>_xlfn.XLOOKUP(Table4[[#This Row],[Category]],Table3[Category],Table3[Type],"",0,1)</f>
        <v>Income</v>
      </c>
      <c r="F65" s="3">
        <v>45388</v>
      </c>
      <c r="G65" s="1">
        <f>MONTH(Table4[[#This Row],[Date]])</f>
        <v>4</v>
      </c>
    </row>
    <row r="66" spans="1:7" x14ac:dyDescent="0.25">
      <c r="A66" s="2">
        <v>-99.97</v>
      </c>
      <c r="B66" s="1" t="s">
        <v>7</v>
      </c>
      <c r="C66" s="1" t="s">
        <v>8</v>
      </c>
      <c r="D66" s="1" t="s">
        <v>17</v>
      </c>
      <c r="E66" s="1" t="str">
        <f>_xlfn.XLOOKUP(Table4[[#This Row],[Category]],Table3[Category],Table3[Type],"",0,1)</f>
        <v>Expense</v>
      </c>
      <c r="F66" s="3">
        <v>45389</v>
      </c>
      <c r="G66" s="1">
        <f>MONTH(Table4[[#This Row],[Date]])</f>
        <v>4</v>
      </c>
    </row>
    <row r="67" spans="1:7" x14ac:dyDescent="0.25">
      <c r="A67" s="2">
        <v>4500</v>
      </c>
      <c r="B67" s="1" t="s">
        <v>7</v>
      </c>
      <c r="C67" s="1" t="s">
        <v>8</v>
      </c>
      <c r="D67" s="1" t="s">
        <v>26</v>
      </c>
      <c r="E67" s="1" t="str">
        <f>_xlfn.XLOOKUP(Table4[[#This Row],[Category]],Table3[Category],Table3[Type],"",0,1)</f>
        <v>Income</v>
      </c>
      <c r="F67" s="3">
        <v>45392</v>
      </c>
      <c r="G67" s="1">
        <f>MONTH(Table4[[#This Row],[Date]])</f>
        <v>4</v>
      </c>
    </row>
    <row r="68" spans="1:7" x14ac:dyDescent="0.25">
      <c r="A68" s="2">
        <v>-2000</v>
      </c>
      <c r="B68" s="1" t="s">
        <v>7</v>
      </c>
      <c r="C68" s="1" t="s">
        <v>8</v>
      </c>
      <c r="D68" s="1" t="s">
        <v>18</v>
      </c>
      <c r="E68" s="1" t="str">
        <f>_xlfn.XLOOKUP(Table4[[#This Row],[Category]],Table3[Category],Table3[Type],"",0,1)</f>
        <v>Expense</v>
      </c>
      <c r="F68" s="3">
        <v>45393</v>
      </c>
      <c r="G68" s="1">
        <f>MONTH(Table4[[#This Row],[Date]])</f>
        <v>4</v>
      </c>
    </row>
    <row r="69" spans="1:7" x14ac:dyDescent="0.25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_xlfn.XLOOKUP(Table4[[#This Row],[Category]],Table3[Category],Table3[Type],"",0,1)</f>
        <v>Expense</v>
      </c>
      <c r="F69" s="3">
        <v>45395</v>
      </c>
      <c r="G69" s="1">
        <f>MONTH(Table4[[#This Row],[Date]])</f>
        <v>4</v>
      </c>
    </row>
    <row r="70" spans="1:7" x14ac:dyDescent="0.25">
      <c r="A70" s="2">
        <v>104.5</v>
      </c>
      <c r="B70" s="1" t="s">
        <v>7</v>
      </c>
      <c r="C70" s="1" t="s">
        <v>9</v>
      </c>
      <c r="D70" s="1" t="s">
        <v>31</v>
      </c>
      <c r="E70" s="1" t="str">
        <f>_xlfn.XLOOKUP(Table4[[#This Row],[Category]],Table3[Category],Table3[Type],"",0,1)</f>
        <v>Transfert</v>
      </c>
      <c r="F70" s="3">
        <v>45397</v>
      </c>
      <c r="G70" s="1">
        <f>MONTH(Table4[[#This Row],[Date]])</f>
        <v>4</v>
      </c>
    </row>
    <row r="71" spans="1:7" x14ac:dyDescent="0.25">
      <c r="A71" s="2">
        <v>-104.5</v>
      </c>
      <c r="B71" s="1" t="s">
        <v>7</v>
      </c>
      <c r="C71" s="1" t="s">
        <v>8</v>
      </c>
      <c r="D71" s="1" t="s">
        <v>31</v>
      </c>
      <c r="E71" s="1" t="str">
        <f>_xlfn.XLOOKUP(Table4[[#This Row],[Category]],Table3[Category],Table3[Type],"",0,1)</f>
        <v>Transfert</v>
      </c>
      <c r="F71" s="3">
        <v>45397</v>
      </c>
      <c r="G71" s="1">
        <f>MONTH(Table4[[#This Row],[Date]])</f>
        <v>4</v>
      </c>
    </row>
    <row r="72" spans="1:7" x14ac:dyDescent="0.25">
      <c r="A72" s="2">
        <v>-49</v>
      </c>
      <c r="B72" s="1" t="s">
        <v>11</v>
      </c>
      <c r="C72" s="1" t="s">
        <v>8</v>
      </c>
      <c r="D72" s="1" t="s">
        <v>19</v>
      </c>
      <c r="E72" s="1" t="str">
        <f>_xlfn.XLOOKUP(Table4[[#This Row],[Category]],Table3[Category],Table3[Type],"",0,1)</f>
        <v>Expense</v>
      </c>
      <c r="F72" s="3">
        <v>45397</v>
      </c>
      <c r="G72" s="1">
        <f>MONTH(Table4[[#This Row],[Date]])</f>
        <v>4</v>
      </c>
    </row>
    <row r="73" spans="1:7" x14ac:dyDescent="0.25">
      <c r="A73" s="2">
        <v>-9.99</v>
      </c>
      <c r="B73" s="1" t="s">
        <v>7</v>
      </c>
      <c r="C73" s="1" t="s">
        <v>9</v>
      </c>
      <c r="D73" s="1" t="s">
        <v>17</v>
      </c>
      <c r="E73" s="1" t="str">
        <f>_xlfn.XLOOKUP(Table4[[#This Row],[Category]],Table3[Category],Table3[Type],"",0,1)</f>
        <v>Expense</v>
      </c>
      <c r="F73" s="3">
        <v>45398</v>
      </c>
      <c r="G73" s="1">
        <f>MONTH(Table4[[#This Row],[Date]])</f>
        <v>4</v>
      </c>
    </row>
    <row r="74" spans="1:7" x14ac:dyDescent="0.25">
      <c r="A74" s="2">
        <v>-100</v>
      </c>
      <c r="B74" s="1" t="s">
        <v>7</v>
      </c>
      <c r="C74" s="1" t="s">
        <v>8</v>
      </c>
      <c r="D74" s="1" t="s">
        <v>24</v>
      </c>
      <c r="E74" s="1" t="str">
        <f>_xlfn.XLOOKUP(Table4[[#This Row],[Category]],Table3[Category],Table3[Type],"",0,1)</f>
        <v>Expense</v>
      </c>
      <c r="F74" s="3">
        <v>45399</v>
      </c>
      <c r="G74" s="1">
        <f>MONTH(Table4[[#This Row],[Date]])</f>
        <v>4</v>
      </c>
    </row>
    <row r="75" spans="1:7" x14ac:dyDescent="0.25">
      <c r="A75" s="2">
        <v>-57.9</v>
      </c>
      <c r="B75" s="1" t="s">
        <v>7</v>
      </c>
      <c r="C75" s="1" t="s">
        <v>9</v>
      </c>
      <c r="D75" s="1" t="s">
        <v>20</v>
      </c>
      <c r="E75" s="1" t="str">
        <f>_xlfn.XLOOKUP(Table4[[#This Row],[Category]],Table3[Category],Table3[Type],"",0,1)</f>
        <v>Expense</v>
      </c>
      <c r="F75" s="3">
        <v>45401</v>
      </c>
      <c r="G75" s="1">
        <f>MONTH(Table4[[#This Row],[Date]])</f>
        <v>4</v>
      </c>
    </row>
    <row r="76" spans="1:7" x14ac:dyDescent="0.25">
      <c r="A76" s="2">
        <v>-159.9</v>
      </c>
      <c r="B76" s="1" t="s">
        <v>7</v>
      </c>
      <c r="C76" s="1" t="s">
        <v>8</v>
      </c>
      <c r="D76" s="1" t="s">
        <v>17</v>
      </c>
      <c r="E76" s="1" t="str">
        <f>_xlfn.XLOOKUP(Table4[[#This Row],[Category]],Table3[Category],Table3[Type],"",0,1)</f>
        <v>Expense</v>
      </c>
      <c r="F76" s="3">
        <v>45403</v>
      </c>
      <c r="G76" s="1">
        <f>MONTH(Table4[[#This Row],[Date]])</f>
        <v>4</v>
      </c>
    </row>
    <row r="77" spans="1:7" x14ac:dyDescent="0.25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_xlfn.XLOOKUP(Table4[[#This Row],[Category]],Table3[Category],Table3[Type],"",0,1)</f>
        <v>Expense</v>
      </c>
      <c r="F77" s="3">
        <v>45405</v>
      </c>
      <c r="G77" s="1">
        <f>MONTH(Table4[[#This Row],[Date]])</f>
        <v>4</v>
      </c>
    </row>
    <row r="78" spans="1:7" x14ac:dyDescent="0.25">
      <c r="A78" s="2">
        <v>50</v>
      </c>
      <c r="B78" s="1" t="s">
        <v>11</v>
      </c>
      <c r="C78" s="1" t="s">
        <v>12</v>
      </c>
      <c r="D78" s="1" t="s">
        <v>29</v>
      </c>
      <c r="E78" s="1" t="str">
        <f>_xlfn.XLOOKUP(Table4[[#This Row],[Category]],Table3[Category],Table3[Type],"",0,1)</f>
        <v>Income</v>
      </c>
      <c r="F78" s="3">
        <v>45407</v>
      </c>
      <c r="G78" s="1">
        <f>MONTH(Table4[[#This Row],[Date]])</f>
        <v>4</v>
      </c>
    </row>
    <row r="79" spans="1:7" x14ac:dyDescent="0.25">
      <c r="A79" s="2">
        <v>-69.900000000000006</v>
      </c>
      <c r="B79" s="1" t="s">
        <v>7</v>
      </c>
      <c r="C79" s="1" t="s">
        <v>8</v>
      </c>
      <c r="D79" s="1" t="s">
        <v>17</v>
      </c>
      <c r="E79" s="1" t="str">
        <f>_xlfn.XLOOKUP(Table4[[#This Row],[Category]],Table3[Category],Table3[Type],"",0,1)</f>
        <v>Expense</v>
      </c>
      <c r="F79" s="3">
        <v>45409</v>
      </c>
      <c r="G79" s="1">
        <f>MONTH(Table4[[#This Row],[Date]])</f>
        <v>4</v>
      </c>
    </row>
    <row r="80" spans="1:7" x14ac:dyDescent="0.25">
      <c r="A80" s="2">
        <v>-32.5</v>
      </c>
      <c r="B80" s="1" t="s">
        <v>7</v>
      </c>
      <c r="C80" s="1" t="s">
        <v>8</v>
      </c>
      <c r="D80" s="1" t="s">
        <v>17</v>
      </c>
      <c r="E80" s="1" t="str">
        <f>_xlfn.XLOOKUP(Table4[[#This Row],[Category]],Table3[Category],Table3[Type],"",0,1)</f>
        <v>Expense</v>
      </c>
      <c r="F80" s="3">
        <v>45410</v>
      </c>
      <c r="G80" s="1">
        <f>MONTH(Table4[[#This Row],[Date]])</f>
        <v>4</v>
      </c>
    </row>
    <row r="81" spans="1:7" x14ac:dyDescent="0.25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_xlfn.XLOOKUP(Table4[[#This Row],[Category]],Table3[Category],Table3[Type],"",0,1)</f>
        <v>Expense</v>
      </c>
      <c r="F81" s="3">
        <v>45411</v>
      </c>
      <c r="G81" s="1">
        <f>MONTH(Table4[[#This Row],[Date]])</f>
        <v>4</v>
      </c>
    </row>
    <row r="82" spans="1:7" x14ac:dyDescent="0.25">
      <c r="A82" s="2">
        <v>-250</v>
      </c>
      <c r="B82" s="1" t="s">
        <v>7</v>
      </c>
      <c r="C82" s="1" t="s">
        <v>9</v>
      </c>
      <c r="D82" s="1" t="s">
        <v>17</v>
      </c>
      <c r="E82" s="1" t="str">
        <f>_xlfn.XLOOKUP(Table4[[#This Row],[Category]],Table3[Category],Table3[Type],"",0,1)</f>
        <v>Expense</v>
      </c>
      <c r="F82" s="3">
        <v>45419</v>
      </c>
      <c r="G82" s="1">
        <f>MONTH(Table4[[#This Row],[Date]])</f>
        <v>5</v>
      </c>
    </row>
    <row r="83" spans="1:7" x14ac:dyDescent="0.25">
      <c r="A83" s="2">
        <v>-80</v>
      </c>
      <c r="B83" s="1" t="s">
        <v>7</v>
      </c>
      <c r="C83" s="1" t="s">
        <v>8</v>
      </c>
      <c r="D83" s="1" t="s">
        <v>16</v>
      </c>
      <c r="E83" s="1" t="str">
        <f>_xlfn.XLOOKUP(Table4[[#This Row],[Category]],Table3[Category],Table3[Type],"",0,1)</f>
        <v>Expense</v>
      </c>
      <c r="F83" s="3">
        <v>45422</v>
      </c>
      <c r="G83" s="1">
        <f>MONTH(Table4[[#This Row],[Date]])</f>
        <v>5</v>
      </c>
    </row>
    <row r="84" spans="1:7" x14ac:dyDescent="0.25">
      <c r="A84" s="2">
        <v>4500</v>
      </c>
      <c r="B84" s="1" t="s">
        <v>7</v>
      </c>
      <c r="C84" s="1" t="s">
        <v>8</v>
      </c>
      <c r="D84" s="1" t="s">
        <v>26</v>
      </c>
      <c r="E84" s="1" t="str">
        <f>_xlfn.XLOOKUP(Table4[[#This Row],[Category]],Table3[Category],Table3[Type],"",0,1)</f>
        <v>Income</v>
      </c>
      <c r="F84" s="3">
        <v>45422</v>
      </c>
      <c r="G84" s="1">
        <f>MONTH(Table4[[#This Row],[Date]])</f>
        <v>5</v>
      </c>
    </row>
    <row r="85" spans="1:7" x14ac:dyDescent="0.25">
      <c r="A85" s="2">
        <v>-2000</v>
      </c>
      <c r="B85" s="1" t="s">
        <v>7</v>
      </c>
      <c r="C85" s="1" t="s">
        <v>8</v>
      </c>
      <c r="D85" s="1" t="s">
        <v>18</v>
      </c>
      <c r="E85" s="1" t="str">
        <f>_xlfn.XLOOKUP(Table4[[#This Row],[Category]],Table3[Category],Table3[Type],"",0,1)</f>
        <v>Expense</v>
      </c>
      <c r="F85" s="3">
        <v>45423</v>
      </c>
      <c r="G85" s="1">
        <f>MONTH(Table4[[#This Row],[Date]])</f>
        <v>5</v>
      </c>
    </row>
    <row r="86" spans="1:7" x14ac:dyDescent="0.25">
      <c r="A86" s="2">
        <v>-250</v>
      </c>
      <c r="B86" s="1" t="s">
        <v>7</v>
      </c>
      <c r="C86" s="1" t="s">
        <v>9</v>
      </c>
      <c r="D86" s="1" t="s">
        <v>17</v>
      </c>
      <c r="E86" s="1" t="str">
        <f>_xlfn.XLOOKUP(Table4[[#This Row],[Category]],Table3[Category],Table3[Type],"",0,1)</f>
        <v>Expense</v>
      </c>
      <c r="F86" s="3">
        <v>45426</v>
      </c>
      <c r="G86" s="1">
        <f>MONTH(Table4[[#This Row],[Date]])</f>
        <v>5</v>
      </c>
    </row>
    <row r="87" spans="1:7" x14ac:dyDescent="0.25">
      <c r="A87" s="2">
        <v>91.39</v>
      </c>
      <c r="B87" s="1" t="s">
        <v>7</v>
      </c>
      <c r="C87" s="1" t="s">
        <v>9</v>
      </c>
      <c r="D87" s="1" t="s">
        <v>31</v>
      </c>
      <c r="E87" s="1" t="str">
        <f>_xlfn.XLOOKUP(Table4[[#This Row],[Category]],Table3[Category],Table3[Type],"",0,1)</f>
        <v>Transfert</v>
      </c>
      <c r="F87" s="3">
        <v>45427</v>
      </c>
      <c r="G87" s="1">
        <f>MONTH(Table4[[#This Row],[Date]])</f>
        <v>5</v>
      </c>
    </row>
    <row r="88" spans="1:7" x14ac:dyDescent="0.25">
      <c r="A88" s="2">
        <v>-91.39</v>
      </c>
      <c r="B88" s="1" t="s">
        <v>7</v>
      </c>
      <c r="C88" s="1" t="s">
        <v>8</v>
      </c>
      <c r="D88" s="1" t="s">
        <v>31</v>
      </c>
      <c r="E88" s="1" t="str">
        <f>_xlfn.XLOOKUP(Table4[[#This Row],[Category]],Table3[Category],Table3[Type],"",0,1)</f>
        <v>Transfert</v>
      </c>
      <c r="F88" s="3">
        <v>45427</v>
      </c>
      <c r="G88" s="1">
        <f>MONTH(Table4[[#This Row],[Date]])</f>
        <v>5</v>
      </c>
    </row>
    <row r="89" spans="1:7" x14ac:dyDescent="0.25">
      <c r="A89" s="2">
        <v>-250</v>
      </c>
      <c r="B89" s="1" t="s">
        <v>7</v>
      </c>
      <c r="C89" s="1" t="s">
        <v>9</v>
      </c>
      <c r="D89" s="1" t="s">
        <v>17</v>
      </c>
      <c r="E89" s="1" t="str">
        <f>_xlfn.XLOOKUP(Table4[[#This Row],[Category]],Table3[Category],Table3[Type],"",0,1)</f>
        <v>Expense</v>
      </c>
      <c r="F89" s="3">
        <v>45433</v>
      </c>
      <c r="G89" s="1">
        <f>MONTH(Table4[[#This Row],[Date]])</f>
        <v>5</v>
      </c>
    </row>
    <row r="90" spans="1:7" x14ac:dyDescent="0.25">
      <c r="A90" s="2">
        <v>-250</v>
      </c>
      <c r="B90" s="1" t="s">
        <v>7</v>
      </c>
      <c r="C90" s="1" t="s">
        <v>9</v>
      </c>
      <c r="D90" s="1" t="s">
        <v>17</v>
      </c>
      <c r="E90" s="1" t="str">
        <f>_xlfn.XLOOKUP(Table4[[#This Row],[Category]],Table3[Category],Table3[Type],"",0,1)</f>
        <v>Expense</v>
      </c>
      <c r="F90" s="3">
        <v>45440</v>
      </c>
      <c r="G90" s="1">
        <f>MONTH(Table4[[#This Row],[Date]])</f>
        <v>5</v>
      </c>
    </row>
    <row r="91" spans="1:7" x14ac:dyDescent="0.25">
      <c r="A91" s="2">
        <v>-50</v>
      </c>
      <c r="B91" s="1" t="s">
        <v>11</v>
      </c>
      <c r="C91" s="1" t="s">
        <v>8</v>
      </c>
      <c r="D91" s="1" t="s">
        <v>19</v>
      </c>
      <c r="E91" s="1" t="str">
        <f>_xlfn.XLOOKUP(Table4[[#This Row],[Category]],Table3[Category],Table3[Type],"",0,1)</f>
        <v>Expense</v>
      </c>
      <c r="F91" s="3">
        <v>45441</v>
      </c>
      <c r="G91" s="1">
        <f>MONTH(Table4[[#This Row],[Date]])</f>
        <v>5</v>
      </c>
    </row>
    <row r="92" spans="1:7" x14ac:dyDescent="0.25">
      <c r="A92" s="2">
        <v>-80</v>
      </c>
      <c r="B92" s="1" t="s">
        <v>13</v>
      </c>
      <c r="C92" s="1" t="s">
        <v>14</v>
      </c>
      <c r="D92" s="1" t="s">
        <v>20</v>
      </c>
      <c r="E92" s="1" t="str">
        <f>_xlfn.XLOOKUP(Table4[[#This Row],[Category]],Table3[Category],Table3[Type],"",0,1)</f>
        <v>Expense</v>
      </c>
      <c r="F92" s="3">
        <v>45442</v>
      </c>
      <c r="G92" s="1">
        <f>MONTH(Table4[[#This Row],[Date]])</f>
        <v>5</v>
      </c>
    </row>
    <row r="93" spans="1:7" x14ac:dyDescent="0.25">
      <c r="A93" s="2">
        <v>-250</v>
      </c>
      <c r="B93" s="1" t="s">
        <v>7</v>
      </c>
      <c r="C93" s="1" t="s">
        <v>9</v>
      </c>
      <c r="D93" s="1" t="s">
        <v>17</v>
      </c>
      <c r="E93" s="1" t="str">
        <f>_xlfn.XLOOKUP(Table4[[#This Row],[Category]],Table3[Category],Table3[Type],"",0,1)</f>
        <v>Expense</v>
      </c>
      <c r="F93" s="3">
        <v>45450</v>
      </c>
      <c r="G93" s="1">
        <f>MONTH(Table4[[#This Row],[Date]])</f>
        <v>6</v>
      </c>
    </row>
    <row r="94" spans="1:7" x14ac:dyDescent="0.25">
      <c r="A94" s="2">
        <v>-80</v>
      </c>
      <c r="B94" s="1" t="s">
        <v>7</v>
      </c>
      <c r="C94" s="1" t="s">
        <v>8</v>
      </c>
      <c r="D94" s="1" t="s">
        <v>16</v>
      </c>
      <c r="E94" s="1" t="str">
        <f>_xlfn.XLOOKUP(Table4[[#This Row],[Category]],Table3[Category],Table3[Type],"",0,1)</f>
        <v>Expense</v>
      </c>
      <c r="F94" s="3">
        <v>45453</v>
      </c>
      <c r="G94" s="1">
        <f>MONTH(Table4[[#This Row],[Date]])</f>
        <v>6</v>
      </c>
    </row>
    <row r="95" spans="1:7" x14ac:dyDescent="0.25">
      <c r="A95" s="2">
        <v>4500</v>
      </c>
      <c r="B95" s="1" t="s">
        <v>7</v>
      </c>
      <c r="C95" s="1" t="s">
        <v>8</v>
      </c>
      <c r="D95" s="1" t="s">
        <v>26</v>
      </c>
      <c r="E95" s="1" t="str">
        <f>_xlfn.XLOOKUP(Table4[[#This Row],[Category]],Table3[Category],Table3[Type],"",0,1)</f>
        <v>Income</v>
      </c>
      <c r="F95" s="3">
        <v>45453</v>
      </c>
      <c r="G95" s="1">
        <f>MONTH(Table4[[#This Row],[Date]])</f>
        <v>6</v>
      </c>
    </row>
    <row r="96" spans="1:7" x14ac:dyDescent="0.25">
      <c r="A96" s="2">
        <v>-2000</v>
      </c>
      <c r="B96" s="1" t="s">
        <v>7</v>
      </c>
      <c r="C96" s="1" t="s">
        <v>8</v>
      </c>
      <c r="D96" s="1" t="s">
        <v>18</v>
      </c>
      <c r="E96" s="1" t="str">
        <f>_xlfn.XLOOKUP(Table4[[#This Row],[Category]],Table3[Category],Table3[Type],"",0,1)</f>
        <v>Expense</v>
      </c>
      <c r="F96" s="3">
        <v>45454</v>
      </c>
      <c r="G96" s="1">
        <f>MONTH(Table4[[#This Row],[Date]])</f>
        <v>6</v>
      </c>
    </row>
    <row r="97" spans="1:7" x14ac:dyDescent="0.25">
      <c r="A97" s="2">
        <v>-250</v>
      </c>
      <c r="B97" s="1" t="s">
        <v>7</v>
      </c>
      <c r="C97" s="1" t="s">
        <v>9</v>
      </c>
      <c r="D97" s="1" t="s">
        <v>17</v>
      </c>
      <c r="E97" s="1" t="str">
        <f>_xlfn.XLOOKUP(Table4[[#This Row],[Category]],Table3[Category],Table3[Type],"",0,1)</f>
        <v>Expense</v>
      </c>
      <c r="F97" s="3">
        <v>45457</v>
      </c>
      <c r="G97" s="1">
        <f>MONTH(Table4[[#This Row],[Date]])</f>
        <v>6</v>
      </c>
    </row>
    <row r="98" spans="1:7" x14ac:dyDescent="0.25">
      <c r="A98" s="2">
        <v>1000</v>
      </c>
      <c r="B98" s="1" t="s">
        <v>7</v>
      </c>
      <c r="C98" s="1" t="s">
        <v>9</v>
      </c>
      <c r="D98" s="1" t="s">
        <v>31</v>
      </c>
      <c r="E98" s="1" t="str">
        <f>_xlfn.XLOOKUP(Table4[[#This Row],[Category]],Table3[Category],Table3[Type],"",0,1)</f>
        <v>Transfert</v>
      </c>
      <c r="F98" s="3">
        <v>45458</v>
      </c>
      <c r="G98" s="1">
        <f>MONTH(Table4[[#This Row],[Date]])</f>
        <v>6</v>
      </c>
    </row>
    <row r="99" spans="1:7" x14ac:dyDescent="0.25">
      <c r="A99" s="2">
        <v>-1000</v>
      </c>
      <c r="B99" s="1" t="s">
        <v>7</v>
      </c>
      <c r="C99" s="1" t="s">
        <v>8</v>
      </c>
      <c r="D99" s="1" t="s">
        <v>31</v>
      </c>
      <c r="E99" s="1" t="str">
        <f>_xlfn.XLOOKUP(Table4[[#This Row],[Category]],Table3[Category],Table3[Type],"",0,1)</f>
        <v>Transfert</v>
      </c>
      <c r="F99" s="3">
        <v>45458</v>
      </c>
      <c r="G99" s="1">
        <f>MONTH(Table4[[#This Row],[Date]])</f>
        <v>6</v>
      </c>
    </row>
    <row r="100" spans="1:7" x14ac:dyDescent="0.25">
      <c r="A100" s="2">
        <v>-100</v>
      </c>
      <c r="B100" s="1" t="s">
        <v>11</v>
      </c>
      <c r="C100" s="1" t="s">
        <v>8</v>
      </c>
      <c r="D100" s="1" t="s">
        <v>21</v>
      </c>
      <c r="E100" s="1" t="str">
        <f>_xlfn.XLOOKUP(Table4[[#This Row],[Category]],Table3[Category],Table3[Type],"",0,1)</f>
        <v>Expense</v>
      </c>
      <c r="F100" s="3">
        <v>45458</v>
      </c>
      <c r="G100" s="1">
        <f>MONTH(Table4[[#This Row],[Date]])</f>
        <v>6</v>
      </c>
    </row>
    <row r="101" spans="1:7" x14ac:dyDescent="0.25">
      <c r="A101" s="2">
        <v>-250</v>
      </c>
      <c r="B101" s="1" t="s">
        <v>7</v>
      </c>
      <c r="C101" s="1" t="s">
        <v>9</v>
      </c>
      <c r="D101" s="1" t="s">
        <v>17</v>
      </c>
      <c r="E101" s="1" t="str">
        <f>_xlfn.XLOOKUP(Table4[[#This Row],[Category]],Table3[Category],Table3[Type],"",0,1)</f>
        <v>Expense</v>
      </c>
      <c r="F101" s="3">
        <v>45464</v>
      </c>
      <c r="G101" s="1">
        <f>MONTH(Table4[[#This Row],[Date]])</f>
        <v>6</v>
      </c>
    </row>
    <row r="102" spans="1:7" x14ac:dyDescent="0.25">
      <c r="A102" s="2">
        <v>-250</v>
      </c>
      <c r="B102" s="1" t="s">
        <v>7</v>
      </c>
      <c r="C102" s="1" t="s">
        <v>9</v>
      </c>
      <c r="D102" s="1" t="s">
        <v>17</v>
      </c>
      <c r="E102" s="1" t="str">
        <f>_xlfn.XLOOKUP(Table4[[#This Row],[Category]],Table3[Category],Table3[Type],"",0,1)</f>
        <v>Expense</v>
      </c>
      <c r="F102" s="3">
        <v>45471</v>
      </c>
      <c r="G102" s="1">
        <f>MONTH(Table4[[#This Row],[Date]])</f>
        <v>6</v>
      </c>
    </row>
    <row r="103" spans="1:7" x14ac:dyDescent="0.25">
      <c r="A103" s="2">
        <v>-300</v>
      </c>
      <c r="B103" s="1" t="s">
        <v>7</v>
      </c>
      <c r="C103" s="1" t="s">
        <v>9</v>
      </c>
      <c r="D103" s="1" t="s">
        <v>22</v>
      </c>
      <c r="E103" s="1" t="str">
        <f>_xlfn.XLOOKUP(Table4[[#This Row],[Category]],Table3[Category],Table3[Type],"",0,1)</f>
        <v>Expense</v>
      </c>
      <c r="F103" s="3">
        <v>45471</v>
      </c>
      <c r="G103" s="1">
        <f>MONTH(Table4[[#This Row],[Date]])</f>
        <v>6</v>
      </c>
    </row>
    <row r="104" spans="1:7" x14ac:dyDescent="0.25">
      <c r="A104" s="2">
        <v>-50</v>
      </c>
      <c r="B104" s="1" t="s">
        <v>11</v>
      </c>
      <c r="C104" s="1" t="s">
        <v>8</v>
      </c>
      <c r="D104" s="1" t="s">
        <v>19</v>
      </c>
      <c r="E104" s="1" t="str">
        <f>_xlfn.XLOOKUP(Table4[[#This Row],[Category]],Table3[Category],Table3[Type],"",0,1)</f>
        <v>Expense</v>
      </c>
      <c r="F104" s="3">
        <v>45472</v>
      </c>
      <c r="G104" s="1">
        <f>MONTH(Table4[[#This Row],[Date]])</f>
        <v>6</v>
      </c>
    </row>
    <row r="105" spans="1:7" x14ac:dyDescent="0.25">
      <c r="A105" s="2">
        <v>400</v>
      </c>
      <c r="B105" s="1" t="s">
        <v>11</v>
      </c>
      <c r="C105" s="1" t="s">
        <v>8</v>
      </c>
      <c r="D105" s="1" t="s">
        <v>25</v>
      </c>
      <c r="E105" s="1" t="str">
        <f>_xlfn.XLOOKUP(Table4[[#This Row],[Category]],Table3[Category],Table3[Type],"",0,1)</f>
        <v>Income</v>
      </c>
      <c r="F105" s="3">
        <v>45472</v>
      </c>
      <c r="G105" s="1">
        <f>MONTH(Table4[[#This Row],[Date]])</f>
        <v>6</v>
      </c>
    </row>
    <row r="106" spans="1:7" x14ac:dyDescent="0.25">
      <c r="A106" s="2">
        <v>-200</v>
      </c>
      <c r="B106" s="1" t="s">
        <v>13</v>
      </c>
      <c r="C106" s="1" t="s">
        <v>14</v>
      </c>
      <c r="D106" s="1" t="s">
        <v>20</v>
      </c>
      <c r="E106" s="1" t="str">
        <f>_xlfn.XLOOKUP(Table4[[#This Row],[Category]],Table3[Category],Table3[Type],"",0,1)</f>
        <v>Expense</v>
      </c>
      <c r="F106" s="3">
        <v>45473</v>
      </c>
      <c r="G106" s="1">
        <f>MONTH(Table4[[#This Row],[Date]])</f>
        <v>6</v>
      </c>
    </row>
    <row r="107" spans="1:7" x14ac:dyDescent="0.25">
      <c r="A107" s="2">
        <v>-30</v>
      </c>
      <c r="B107" s="1" t="s">
        <v>13</v>
      </c>
      <c r="C107" s="1" t="s">
        <v>15</v>
      </c>
      <c r="D107" s="1" t="s">
        <v>17</v>
      </c>
      <c r="E107" s="1" t="str">
        <f>_xlfn.XLOOKUP(Table4[[#This Row],[Category]],Table3[Category],Table3[Type],"",0,1)</f>
        <v>Expense</v>
      </c>
      <c r="F107" s="3">
        <v>45476</v>
      </c>
      <c r="G107" s="1">
        <f>MONTH(Table4[[#This Row],[Date]])</f>
        <v>7</v>
      </c>
    </row>
    <row r="108" spans="1:7" x14ac:dyDescent="0.25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_xlfn.XLOOKUP(Table4[[#This Row],[Category]],Table3[Category],Table3[Type],"",0,1)</f>
        <v>Expense</v>
      </c>
      <c r="F108" s="3">
        <v>45480</v>
      </c>
      <c r="G108" s="1">
        <f>MONTH(Table4[[#This Row],[Date]])</f>
        <v>7</v>
      </c>
    </row>
    <row r="109" spans="1:7" x14ac:dyDescent="0.25">
      <c r="A109" s="2">
        <v>4500</v>
      </c>
      <c r="B109" s="1" t="s">
        <v>7</v>
      </c>
      <c r="C109" s="1" t="s">
        <v>8</v>
      </c>
      <c r="D109" s="1" t="s">
        <v>26</v>
      </c>
      <c r="E109" s="1" t="str">
        <f>_xlfn.XLOOKUP(Table4[[#This Row],[Category]],Table3[Category],Table3[Type],"",0,1)</f>
        <v>Income</v>
      </c>
      <c r="F109" s="3">
        <v>45483</v>
      </c>
      <c r="G109" s="1">
        <f>MONTH(Table4[[#This Row],[Date]])</f>
        <v>7</v>
      </c>
    </row>
    <row r="110" spans="1:7" x14ac:dyDescent="0.25">
      <c r="A110" s="2">
        <v>-2000</v>
      </c>
      <c r="B110" s="1" t="s">
        <v>7</v>
      </c>
      <c r="C110" s="1" t="s">
        <v>8</v>
      </c>
      <c r="D110" s="1" t="s">
        <v>18</v>
      </c>
      <c r="E110" s="1" t="str">
        <f>_xlfn.XLOOKUP(Table4[[#This Row],[Category]],Table3[Category],Table3[Type],"",0,1)</f>
        <v>Expense</v>
      </c>
      <c r="F110" s="3">
        <v>45484</v>
      </c>
      <c r="G110" s="1">
        <f>MONTH(Table4[[#This Row],[Date]])</f>
        <v>7</v>
      </c>
    </row>
    <row r="111" spans="1:7" x14ac:dyDescent="0.25">
      <c r="A111" s="2">
        <v>-40</v>
      </c>
      <c r="B111" s="1" t="s">
        <v>7</v>
      </c>
      <c r="C111" s="1" t="s">
        <v>9</v>
      </c>
      <c r="D111" s="1" t="s">
        <v>17</v>
      </c>
      <c r="E111" s="1" t="str">
        <f>_xlfn.XLOOKUP(Table4[[#This Row],[Category]],Table3[Category],Table3[Type],"",0,1)</f>
        <v>Expense</v>
      </c>
      <c r="F111" s="3">
        <v>45487</v>
      </c>
      <c r="G111" s="1">
        <f>MONTH(Table4[[#This Row],[Date]])</f>
        <v>7</v>
      </c>
    </row>
    <row r="112" spans="1:7" x14ac:dyDescent="0.25">
      <c r="A112" s="2">
        <v>1300</v>
      </c>
      <c r="B112" s="1" t="s">
        <v>7</v>
      </c>
      <c r="C112" s="1" t="s">
        <v>9</v>
      </c>
      <c r="D112" s="1" t="s">
        <v>31</v>
      </c>
      <c r="E112" s="1" t="str">
        <f>_xlfn.XLOOKUP(Table4[[#This Row],[Category]],Table3[Category],Table3[Type],"",0,1)</f>
        <v>Transfert</v>
      </c>
      <c r="F112" s="3">
        <v>45488</v>
      </c>
      <c r="G112" s="1">
        <f>MONTH(Table4[[#This Row],[Date]])</f>
        <v>7</v>
      </c>
    </row>
    <row r="113" spans="1:7" x14ac:dyDescent="0.25">
      <c r="A113" s="2">
        <v>-1300</v>
      </c>
      <c r="B113" s="1" t="s">
        <v>7</v>
      </c>
      <c r="C113" s="1" t="s">
        <v>8</v>
      </c>
      <c r="D113" s="1" t="s">
        <v>31</v>
      </c>
      <c r="E113" s="1" t="str">
        <f>_xlfn.XLOOKUP(Table4[[#This Row],[Category]],Table3[Category],Table3[Type],"",0,1)</f>
        <v>Transfert</v>
      </c>
      <c r="F113" s="3">
        <v>45488</v>
      </c>
      <c r="G113" s="1">
        <f>MONTH(Table4[[#This Row],[Date]])</f>
        <v>7</v>
      </c>
    </row>
    <row r="114" spans="1:7" x14ac:dyDescent="0.25">
      <c r="A114" s="2">
        <v>-300</v>
      </c>
      <c r="B114" s="1" t="s">
        <v>7</v>
      </c>
      <c r="C114" s="1" t="s">
        <v>10</v>
      </c>
      <c r="D114" s="1" t="s">
        <v>21</v>
      </c>
      <c r="E114" s="1" t="str">
        <f>_xlfn.XLOOKUP(Table4[[#This Row],[Category]],Table3[Category],Table3[Type],"",0,1)</f>
        <v>Expense</v>
      </c>
      <c r="F114" s="3">
        <v>45489</v>
      </c>
      <c r="G114" s="1">
        <f>MONTH(Table4[[#This Row],[Date]])</f>
        <v>7</v>
      </c>
    </row>
    <row r="115" spans="1:7" x14ac:dyDescent="0.25">
      <c r="A115" s="2">
        <v>800</v>
      </c>
      <c r="B115" s="1" t="s">
        <v>11</v>
      </c>
      <c r="C115" s="1" t="s">
        <v>12</v>
      </c>
      <c r="D115" s="1" t="s">
        <v>29</v>
      </c>
      <c r="E115" s="1" t="str">
        <f>_xlfn.XLOOKUP(Table4[[#This Row],[Category]],Table3[Category],Table3[Type],"",0,1)</f>
        <v>Income</v>
      </c>
      <c r="F115" s="3">
        <v>45491</v>
      </c>
      <c r="G115" s="1">
        <f>MONTH(Table4[[#This Row],[Date]])</f>
        <v>7</v>
      </c>
    </row>
    <row r="116" spans="1:7" x14ac:dyDescent="0.25">
      <c r="A116" s="2">
        <v>-600</v>
      </c>
      <c r="B116" s="1" t="s">
        <v>11</v>
      </c>
      <c r="C116" s="1" t="s">
        <v>8</v>
      </c>
      <c r="D116" s="1" t="s">
        <v>20</v>
      </c>
      <c r="E116" s="1" t="str">
        <f>_xlfn.XLOOKUP(Table4[[#This Row],[Category]],Table3[Category],Table3[Type],"",0,1)</f>
        <v>Expense</v>
      </c>
      <c r="F116" s="3">
        <v>45494</v>
      </c>
      <c r="G116" s="1">
        <f>MONTH(Table4[[#This Row],[Date]])</f>
        <v>7</v>
      </c>
    </row>
    <row r="117" spans="1:7" x14ac:dyDescent="0.25">
      <c r="A117" s="2">
        <v>120</v>
      </c>
      <c r="B117" s="1" t="s">
        <v>7</v>
      </c>
      <c r="C117" s="1" t="s">
        <v>10</v>
      </c>
      <c r="D117" s="1" t="s">
        <v>28</v>
      </c>
      <c r="E117" s="1" t="str">
        <f>_xlfn.XLOOKUP(Table4[[#This Row],[Category]],Table3[Category],Table3[Type],"",0,1)</f>
        <v>Income</v>
      </c>
      <c r="F117" s="3">
        <v>45495</v>
      </c>
      <c r="G117" s="1">
        <f>MONTH(Table4[[#This Row],[Date]])</f>
        <v>7</v>
      </c>
    </row>
    <row r="118" spans="1:7" x14ac:dyDescent="0.25">
      <c r="A118" s="2">
        <v>-90</v>
      </c>
      <c r="B118" s="1" t="s">
        <v>7</v>
      </c>
      <c r="C118" s="1" t="s">
        <v>8</v>
      </c>
      <c r="D118" s="1" t="s">
        <v>16</v>
      </c>
      <c r="E118" s="1" t="str">
        <f>_xlfn.XLOOKUP(Table4[[#This Row],[Category]],Table3[Category],Table3[Type],"",0,1)</f>
        <v>Expense</v>
      </c>
      <c r="F118" s="3">
        <v>45497</v>
      </c>
      <c r="G118" s="1">
        <f>MONTH(Table4[[#This Row],[Date]])</f>
        <v>7</v>
      </c>
    </row>
    <row r="119" spans="1:7" x14ac:dyDescent="0.25">
      <c r="A119" s="2">
        <v>-50</v>
      </c>
      <c r="B119" s="1" t="s">
        <v>7</v>
      </c>
      <c r="C119" s="1" t="s">
        <v>9</v>
      </c>
      <c r="D119" s="1" t="s">
        <v>17</v>
      </c>
      <c r="E119" s="1" t="str">
        <f>_xlfn.XLOOKUP(Table4[[#This Row],[Category]],Table3[Category],Table3[Type],"",0,1)</f>
        <v>Expense</v>
      </c>
      <c r="F119" s="3">
        <v>45499</v>
      </c>
      <c r="G119" s="1">
        <f>MONTH(Table4[[#This Row],[Date]])</f>
        <v>7</v>
      </c>
    </row>
    <row r="120" spans="1:7" x14ac:dyDescent="0.25">
      <c r="A120" s="2">
        <v>250</v>
      </c>
      <c r="B120" s="1" t="s">
        <v>11</v>
      </c>
      <c r="C120" s="1" t="s">
        <v>12</v>
      </c>
      <c r="D120" s="1" t="s">
        <v>22</v>
      </c>
      <c r="E120" s="1" t="str">
        <f>_xlfn.XLOOKUP(Table4[[#This Row],[Category]],Table3[Category],Table3[Type],"",0,1)</f>
        <v>Expense</v>
      </c>
      <c r="F120" s="3">
        <v>45502</v>
      </c>
      <c r="G120" s="1">
        <f>MONTH(Table4[[#This Row],[Date]])</f>
        <v>7</v>
      </c>
    </row>
    <row r="121" spans="1:7" x14ac:dyDescent="0.25">
      <c r="A121" s="2">
        <v>500</v>
      </c>
      <c r="B121" s="1" t="s">
        <v>11</v>
      </c>
      <c r="C121" s="1" t="s">
        <v>8</v>
      </c>
      <c r="D121" s="1" t="s">
        <v>27</v>
      </c>
      <c r="E121" s="1" t="str">
        <f>_xlfn.XLOOKUP(Table4[[#This Row],[Category]],Table3[Category],Table3[Type],"",0,1)</f>
        <v>Income</v>
      </c>
      <c r="F121" s="3">
        <v>45503</v>
      </c>
      <c r="G121" s="1">
        <f>MONTH(Table4[[#This Row],[Date]])</f>
        <v>7</v>
      </c>
    </row>
    <row r="122" spans="1:7" x14ac:dyDescent="0.25">
      <c r="A122" s="2">
        <v>-45</v>
      </c>
      <c r="B122" s="1" t="s">
        <v>7</v>
      </c>
      <c r="C122" s="1" t="s">
        <v>9</v>
      </c>
      <c r="D122" s="1" t="s">
        <v>17</v>
      </c>
      <c r="E122" s="1" t="str">
        <f>_xlfn.XLOOKUP(Table4[[#This Row],[Category]],Table3[Category],Table3[Type],"",0,1)</f>
        <v>Expense</v>
      </c>
      <c r="F122" s="3">
        <v>45504</v>
      </c>
      <c r="G122" s="1">
        <f>MONTH(Table4[[#This Row],[Date]])</f>
        <v>7</v>
      </c>
    </row>
    <row r="123" spans="1:7" x14ac:dyDescent="0.25">
      <c r="A123" s="2">
        <v>-600</v>
      </c>
      <c r="B123" s="1" t="s">
        <v>7</v>
      </c>
      <c r="C123" s="1" t="s">
        <v>8</v>
      </c>
      <c r="D123" s="1" t="s">
        <v>17</v>
      </c>
      <c r="E123" s="1" t="str">
        <f>_xlfn.XLOOKUP(Table4[[#This Row],[Category]],Table3[Category],Table3[Type],"",0,1)</f>
        <v>Expense</v>
      </c>
      <c r="F123" s="3">
        <v>45505</v>
      </c>
      <c r="G123" s="1">
        <f>MONTH(Table4[[#This Row],[Date]])</f>
        <v>8</v>
      </c>
    </row>
    <row r="124" spans="1:7" x14ac:dyDescent="0.25">
      <c r="A124" s="2">
        <v>-1020</v>
      </c>
      <c r="B124" s="1" t="s">
        <v>7</v>
      </c>
      <c r="C124" s="1" t="s">
        <v>10</v>
      </c>
      <c r="D124" s="1" t="s">
        <v>31</v>
      </c>
      <c r="E124" s="1" t="str">
        <f>_xlfn.XLOOKUP(Table4[[#This Row],[Category]],Table3[Category],Table3[Type],"",0,1)</f>
        <v>Transfert</v>
      </c>
      <c r="F124" s="3">
        <v>45505</v>
      </c>
      <c r="G124" s="1">
        <f>MONTH(Table4[[#This Row],[Date]])</f>
        <v>8</v>
      </c>
    </row>
    <row r="125" spans="1:7" x14ac:dyDescent="0.25">
      <c r="A125" s="2">
        <v>-200</v>
      </c>
      <c r="B125" s="1" t="s">
        <v>11</v>
      </c>
      <c r="C125" s="1" t="s">
        <v>8</v>
      </c>
      <c r="D125" s="1" t="s">
        <v>16</v>
      </c>
      <c r="E125" s="1" t="str">
        <f>_xlfn.XLOOKUP(Table4[[#This Row],[Category]],Table3[Category],Table3[Type],"",0,1)</f>
        <v>Expense</v>
      </c>
      <c r="F125" s="3">
        <v>45505</v>
      </c>
      <c r="G125" s="1">
        <f>MONTH(Table4[[#This Row],[Date]])</f>
        <v>8</v>
      </c>
    </row>
    <row r="126" spans="1:7" x14ac:dyDescent="0.25">
      <c r="A126" s="2">
        <v>-70</v>
      </c>
      <c r="B126" s="1" t="s">
        <v>7</v>
      </c>
      <c r="C126" s="1" t="s">
        <v>9</v>
      </c>
      <c r="D126" s="1" t="s">
        <v>17</v>
      </c>
      <c r="E126" s="1" t="str">
        <f>_xlfn.XLOOKUP(Table4[[#This Row],[Category]],Table3[Category],Table3[Type],"",0,1)</f>
        <v>Expense</v>
      </c>
      <c r="F126" s="3">
        <v>45513</v>
      </c>
      <c r="G126" s="1">
        <f>MONTH(Table4[[#This Row],[Date]])</f>
        <v>8</v>
      </c>
    </row>
    <row r="127" spans="1:7" x14ac:dyDescent="0.25">
      <c r="A127" s="2">
        <v>4500</v>
      </c>
      <c r="B127" s="1" t="s">
        <v>7</v>
      </c>
      <c r="C127" s="1" t="s">
        <v>8</v>
      </c>
      <c r="D127" s="1" t="s">
        <v>26</v>
      </c>
      <c r="E127" s="1" t="str">
        <f>_xlfn.XLOOKUP(Table4[[#This Row],[Category]],Table3[Category],Table3[Type],"",0,1)</f>
        <v>Income</v>
      </c>
      <c r="F127" s="3">
        <v>45514</v>
      </c>
      <c r="G127" s="1">
        <f>MONTH(Table4[[#This Row],[Date]])</f>
        <v>8</v>
      </c>
    </row>
    <row r="128" spans="1:7" x14ac:dyDescent="0.25">
      <c r="A128" s="2">
        <v>-2000</v>
      </c>
      <c r="B128" s="1" t="s">
        <v>7</v>
      </c>
      <c r="C128" s="1" t="s">
        <v>8</v>
      </c>
      <c r="D128" s="1" t="s">
        <v>18</v>
      </c>
      <c r="E128" s="1" t="str">
        <f>_xlfn.XLOOKUP(Table4[[#This Row],[Category]],Table3[Category],Table3[Type],"",0,1)</f>
        <v>Expense</v>
      </c>
      <c r="F128" s="3">
        <v>45515</v>
      </c>
      <c r="G128" s="1">
        <f>MONTH(Table4[[#This Row],[Date]])</f>
        <v>8</v>
      </c>
    </row>
    <row r="129" spans="1:7" x14ac:dyDescent="0.25">
      <c r="A129" s="2">
        <v>-100</v>
      </c>
      <c r="B129" s="1" t="s">
        <v>11</v>
      </c>
      <c r="C129" s="1" t="s">
        <v>8</v>
      </c>
      <c r="D129" s="1" t="s">
        <v>20</v>
      </c>
      <c r="E129" s="1" t="str">
        <f>_xlfn.XLOOKUP(Table4[[#This Row],[Category]],Table3[Category],Table3[Type],"",0,1)</f>
        <v>Expense</v>
      </c>
      <c r="F129" s="3">
        <v>45518</v>
      </c>
      <c r="G129" s="1">
        <f>MONTH(Table4[[#This Row],[Date]])</f>
        <v>8</v>
      </c>
    </row>
    <row r="130" spans="1:7" x14ac:dyDescent="0.25">
      <c r="A130" s="2">
        <v>135</v>
      </c>
      <c r="B130" s="1" t="s">
        <v>7</v>
      </c>
      <c r="C130" s="1" t="s">
        <v>9</v>
      </c>
      <c r="D130" s="1" t="s">
        <v>31</v>
      </c>
      <c r="E130" s="1" t="str">
        <f>_xlfn.XLOOKUP(Table4[[#This Row],[Category]],Table3[Category],Table3[Type],"",0,1)</f>
        <v>Transfert</v>
      </c>
      <c r="F130" s="3">
        <v>45519</v>
      </c>
      <c r="G130" s="1">
        <f>MONTH(Table4[[#This Row],[Date]])</f>
        <v>8</v>
      </c>
    </row>
    <row r="131" spans="1:7" x14ac:dyDescent="0.25">
      <c r="A131" s="2">
        <v>-135</v>
      </c>
      <c r="B131" s="1" t="s">
        <v>7</v>
      </c>
      <c r="C131" s="1" t="s">
        <v>8</v>
      </c>
      <c r="D131" s="1" t="s">
        <v>31</v>
      </c>
      <c r="E131" s="1" t="str">
        <f>_xlfn.XLOOKUP(Table4[[#This Row],[Category]],Table3[Category],Table3[Type],"",0,1)</f>
        <v>Transfert</v>
      </c>
      <c r="F131" s="3">
        <v>45519</v>
      </c>
      <c r="G131" s="1">
        <f>MONTH(Table4[[#This Row],[Date]])</f>
        <v>8</v>
      </c>
    </row>
    <row r="132" spans="1:7" x14ac:dyDescent="0.25">
      <c r="A132" s="2">
        <v>-400</v>
      </c>
      <c r="B132" s="1" t="s">
        <v>7</v>
      </c>
      <c r="C132" s="1" t="s">
        <v>8</v>
      </c>
      <c r="D132" s="1" t="s">
        <v>21</v>
      </c>
      <c r="E132" s="1" t="str">
        <f>_xlfn.XLOOKUP(Table4[[#This Row],[Category]],Table3[Category],Table3[Type],"",0,1)</f>
        <v>Expense</v>
      </c>
      <c r="F132" s="3">
        <v>45520</v>
      </c>
      <c r="G132" s="1">
        <f>MONTH(Table4[[#This Row],[Date]])</f>
        <v>8</v>
      </c>
    </row>
    <row r="133" spans="1:7" x14ac:dyDescent="0.25">
      <c r="A133" s="2">
        <v>-32</v>
      </c>
      <c r="B133" s="1" t="s">
        <v>7</v>
      </c>
      <c r="C133" s="1" t="s">
        <v>9</v>
      </c>
      <c r="D133" s="1" t="s">
        <v>17</v>
      </c>
      <c r="E133" s="1" t="str">
        <f>_xlfn.XLOOKUP(Table4[[#This Row],[Category]],Table3[Category],Table3[Type],"",0,1)</f>
        <v>Expense</v>
      </c>
      <c r="F133" s="3">
        <v>45522</v>
      </c>
      <c r="G133" s="1">
        <f>MONTH(Table4[[#This Row],[Date]])</f>
        <v>8</v>
      </c>
    </row>
    <row r="134" spans="1:7" x14ac:dyDescent="0.25">
      <c r="A134" s="2">
        <v>200</v>
      </c>
      <c r="B134" s="1" t="s">
        <v>13</v>
      </c>
      <c r="C134" s="1" t="s">
        <v>14</v>
      </c>
      <c r="D134" s="1" t="s">
        <v>29</v>
      </c>
      <c r="E134" s="1" t="str">
        <f>_xlfn.XLOOKUP(Table4[[#This Row],[Category]],Table3[Category],Table3[Type],"",0,1)</f>
        <v>Income</v>
      </c>
      <c r="F134" s="3">
        <v>45524</v>
      </c>
      <c r="G134" s="1">
        <f>MONTH(Table4[[#This Row],[Date]])</f>
        <v>8</v>
      </c>
    </row>
    <row r="135" spans="1:7" x14ac:dyDescent="0.25">
      <c r="A135" s="2">
        <v>-150</v>
      </c>
      <c r="B135" s="1" t="s">
        <v>13</v>
      </c>
      <c r="C135" s="1" t="s">
        <v>14</v>
      </c>
      <c r="D135" s="1" t="s">
        <v>20</v>
      </c>
      <c r="E135" s="1" t="str">
        <f>_xlfn.XLOOKUP(Table4[[#This Row],[Category]],Table3[Category],Table3[Type],"",0,1)</f>
        <v>Expense</v>
      </c>
      <c r="F135" s="3">
        <v>45526</v>
      </c>
      <c r="G135" s="1">
        <f>MONTH(Table4[[#This Row],[Date]])</f>
        <v>8</v>
      </c>
    </row>
    <row r="136" spans="1:7" x14ac:dyDescent="0.25">
      <c r="A136" s="2">
        <v>-47.5</v>
      </c>
      <c r="B136" s="1" t="s">
        <v>13</v>
      </c>
      <c r="C136" s="1" t="s">
        <v>14</v>
      </c>
      <c r="D136" s="1" t="s">
        <v>17</v>
      </c>
      <c r="E136" s="1" t="str">
        <f>_xlfn.XLOOKUP(Table4[[#This Row],[Category]],Table3[Category],Table3[Type],"",0,1)</f>
        <v>Expense</v>
      </c>
      <c r="F136" s="3">
        <v>45527</v>
      </c>
      <c r="G136" s="1">
        <f>MONTH(Table4[[#This Row],[Date]])</f>
        <v>8</v>
      </c>
    </row>
    <row r="137" spans="1:7" x14ac:dyDescent="0.25">
      <c r="A137" s="2">
        <v>-90</v>
      </c>
      <c r="B137" s="1" t="s">
        <v>7</v>
      </c>
      <c r="C137" s="1" t="s">
        <v>8</v>
      </c>
      <c r="D137" s="1" t="s">
        <v>16</v>
      </c>
      <c r="E137" s="1" t="str">
        <f>_xlfn.XLOOKUP(Table4[[#This Row],[Category]],Table3[Category],Table3[Type],"",0,1)</f>
        <v>Expense</v>
      </c>
      <c r="F137" s="3">
        <v>45528</v>
      </c>
      <c r="G137" s="1">
        <f>MONTH(Table4[[#This Row],[Date]])</f>
        <v>8</v>
      </c>
    </row>
    <row r="138" spans="1:7" x14ac:dyDescent="0.25">
      <c r="A138" s="2">
        <v>-300</v>
      </c>
      <c r="B138" s="1" t="s">
        <v>11</v>
      </c>
      <c r="C138" s="1" t="s">
        <v>12</v>
      </c>
      <c r="D138" s="1" t="s">
        <v>22</v>
      </c>
      <c r="E138" s="1" t="str">
        <f>_xlfn.XLOOKUP(Table4[[#This Row],[Category]],Table3[Category],Table3[Type],"",0,1)</f>
        <v>Expense</v>
      </c>
      <c r="F138" s="3">
        <v>45531</v>
      </c>
      <c r="G138" s="1">
        <f>MONTH(Table4[[#This Row],[Date]])</f>
        <v>8</v>
      </c>
    </row>
    <row r="139" spans="1:7" x14ac:dyDescent="0.25">
      <c r="A139" s="2">
        <v>500</v>
      </c>
      <c r="B139" s="1" t="s">
        <v>11</v>
      </c>
      <c r="C139" s="1" t="s">
        <v>8</v>
      </c>
      <c r="D139" s="1" t="s">
        <v>27</v>
      </c>
      <c r="E139" s="1" t="str">
        <f>_xlfn.XLOOKUP(Table4[[#This Row],[Category]],Table3[Category],Table3[Type],"",0,1)</f>
        <v>Income</v>
      </c>
      <c r="F139" s="3">
        <v>45534</v>
      </c>
      <c r="G139" s="1">
        <f>MONTH(Table4[[#This Row],[Date]])</f>
        <v>8</v>
      </c>
    </row>
    <row r="140" spans="1:7" x14ac:dyDescent="0.25">
      <c r="A140" s="2">
        <v>200</v>
      </c>
      <c r="B140" s="1" t="s">
        <v>7</v>
      </c>
      <c r="C140" s="1" t="s">
        <v>8</v>
      </c>
      <c r="D140" s="1" t="s">
        <v>29</v>
      </c>
      <c r="E140" s="1" t="str">
        <f>_xlfn.XLOOKUP(Table4[[#This Row],[Category]],Table3[Category],Table3[Type],"",0,1)</f>
        <v>Income</v>
      </c>
      <c r="F140" s="3">
        <v>45535</v>
      </c>
      <c r="G140" s="1">
        <f>MONTH(Table4[[#This Row],[Date]])</f>
        <v>8</v>
      </c>
    </row>
    <row r="141" spans="1:7" x14ac:dyDescent="0.25">
      <c r="A141" s="2">
        <v>-150</v>
      </c>
      <c r="B141" s="1" t="s">
        <v>7</v>
      </c>
      <c r="C141" s="1" t="s">
        <v>8</v>
      </c>
      <c r="D141" s="1" t="s">
        <v>16</v>
      </c>
      <c r="E141" s="1" t="str">
        <f>_xlfn.XLOOKUP(Table4[[#This Row],[Category]],Table3[Category],Table3[Type],"",0,1)</f>
        <v>Expense</v>
      </c>
      <c r="F141" s="3">
        <v>45536</v>
      </c>
      <c r="G141" s="1">
        <f>MONTH(Table4[[#This Row],[Date]])</f>
        <v>9</v>
      </c>
    </row>
    <row r="142" spans="1:7" x14ac:dyDescent="0.25">
      <c r="A142" s="2">
        <v>-20</v>
      </c>
      <c r="B142" s="1" t="s">
        <v>11</v>
      </c>
      <c r="C142" s="1" t="s">
        <v>8</v>
      </c>
      <c r="D142" s="1" t="s">
        <v>17</v>
      </c>
      <c r="E142" s="1" t="str">
        <f>_xlfn.XLOOKUP(Table4[[#This Row],[Category]],Table3[Category],Table3[Type],"",0,1)</f>
        <v>Expense</v>
      </c>
      <c r="F142" s="3">
        <v>45539</v>
      </c>
      <c r="G142" s="1">
        <f>MONTH(Table4[[#This Row],[Date]])</f>
        <v>9</v>
      </c>
    </row>
    <row r="143" spans="1:7" x14ac:dyDescent="0.25">
      <c r="A143" s="2">
        <v>-40</v>
      </c>
      <c r="B143" s="1" t="s">
        <v>7</v>
      </c>
      <c r="C143" s="1" t="s">
        <v>8</v>
      </c>
      <c r="D143" s="1" t="s">
        <v>19</v>
      </c>
      <c r="E143" s="1" t="str">
        <f>_xlfn.XLOOKUP(Table4[[#This Row],[Category]],Table3[Category],Table3[Type],"",0,1)</f>
        <v>Expense</v>
      </c>
      <c r="F143" s="3">
        <v>45542</v>
      </c>
      <c r="G143" s="1">
        <f>MONTH(Table4[[#This Row],[Date]])</f>
        <v>9</v>
      </c>
    </row>
    <row r="144" spans="1:7" x14ac:dyDescent="0.25">
      <c r="A144" s="2">
        <v>-500</v>
      </c>
      <c r="B144" s="1" t="s">
        <v>7</v>
      </c>
      <c r="C144" s="1" t="s">
        <v>8</v>
      </c>
      <c r="D144" s="1" t="s">
        <v>17</v>
      </c>
      <c r="E144" s="1" t="str">
        <f>_xlfn.XLOOKUP(Table4[[#This Row],[Category]],Table3[Category],Table3[Type],"",0,1)</f>
        <v>Expense</v>
      </c>
      <c r="F144" s="3">
        <v>45543</v>
      </c>
      <c r="G144" s="1">
        <f>MONTH(Table4[[#This Row],[Date]])</f>
        <v>9</v>
      </c>
    </row>
    <row r="145" spans="1:7" x14ac:dyDescent="0.25">
      <c r="A145" s="2">
        <v>4500</v>
      </c>
      <c r="B145" s="1" t="s">
        <v>7</v>
      </c>
      <c r="C145" s="1" t="s">
        <v>8</v>
      </c>
      <c r="D145" s="1" t="s">
        <v>26</v>
      </c>
      <c r="E145" s="1" t="str">
        <f>_xlfn.XLOOKUP(Table4[[#This Row],[Category]],Table3[Category],Table3[Type],"",0,1)</f>
        <v>Income</v>
      </c>
      <c r="F145" s="3">
        <v>45545</v>
      </c>
      <c r="G145" s="1">
        <f>MONTH(Table4[[#This Row],[Date]])</f>
        <v>9</v>
      </c>
    </row>
    <row r="146" spans="1:7" x14ac:dyDescent="0.25">
      <c r="A146" s="2">
        <v>-20</v>
      </c>
      <c r="B146" s="1" t="s">
        <v>7</v>
      </c>
      <c r="C146" s="1" t="s">
        <v>9</v>
      </c>
      <c r="D146" s="1" t="s">
        <v>20</v>
      </c>
      <c r="E146" s="1" t="str">
        <f>_xlfn.XLOOKUP(Table4[[#This Row],[Category]],Table3[Category],Table3[Type],"",0,1)</f>
        <v>Expense</v>
      </c>
      <c r="F146" s="3">
        <v>45546</v>
      </c>
      <c r="G146" s="1">
        <f>MONTH(Table4[[#This Row],[Date]])</f>
        <v>9</v>
      </c>
    </row>
    <row r="147" spans="1:7" x14ac:dyDescent="0.25">
      <c r="A147" s="2">
        <v>-2000</v>
      </c>
      <c r="B147" s="1" t="s">
        <v>7</v>
      </c>
      <c r="C147" s="1" t="s">
        <v>8</v>
      </c>
      <c r="D147" s="1" t="s">
        <v>18</v>
      </c>
      <c r="E147" s="1" t="str">
        <f>_xlfn.XLOOKUP(Table4[[#This Row],[Category]],Table3[Category],Table3[Type],"",0,1)</f>
        <v>Expense</v>
      </c>
      <c r="F147" s="3">
        <v>45546</v>
      </c>
      <c r="G147" s="1">
        <f>MONTH(Table4[[#This Row],[Date]])</f>
        <v>9</v>
      </c>
    </row>
    <row r="148" spans="1:7" x14ac:dyDescent="0.25">
      <c r="A148" s="2">
        <v>102</v>
      </c>
      <c r="B148" s="1" t="s">
        <v>7</v>
      </c>
      <c r="C148" s="1" t="s">
        <v>9</v>
      </c>
      <c r="D148" s="1" t="s">
        <v>31</v>
      </c>
      <c r="E148" s="1" t="str">
        <f>_xlfn.XLOOKUP(Table4[[#This Row],[Category]],Table3[Category],Table3[Type],"",0,1)</f>
        <v>Transfert</v>
      </c>
      <c r="F148" s="3">
        <v>45550</v>
      </c>
      <c r="G148" s="1">
        <f>MONTH(Table4[[#This Row],[Date]])</f>
        <v>9</v>
      </c>
    </row>
    <row r="149" spans="1:7" x14ac:dyDescent="0.25">
      <c r="A149" s="2">
        <v>-102</v>
      </c>
      <c r="B149" s="1" t="s">
        <v>7</v>
      </c>
      <c r="C149" s="1" t="s">
        <v>8</v>
      </c>
      <c r="D149" s="1" t="s">
        <v>31</v>
      </c>
      <c r="E149" s="1" t="str">
        <f>_xlfn.XLOOKUP(Table4[[#This Row],[Category]],Table3[Category],Table3[Type],"",0,1)</f>
        <v>Transfert</v>
      </c>
      <c r="F149" s="3">
        <v>45550</v>
      </c>
      <c r="G149" s="1">
        <f>MONTH(Table4[[#This Row],[Date]])</f>
        <v>9</v>
      </c>
    </row>
    <row r="150" spans="1:7" x14ac:dyDescent="0.25">
      <c r="A150" s="2">
        <v>-18.5</v>
      </c>
      <c r="B150" s="1" t="s">
        <v>7</v>
      </c>
      <c r="C150" s="1" t="s">
        <v>8</v>
      </c>
      <c r="D150" s="1" t="s">
        <v>17</v>
      </c>
      <c r="E150" s="1" t="str">
        <f>_xlfn.XLOOKUP(Table4[[#This Row],[Category]],Table3[Category],Table3[Type],"",0,1)</f>
        <v>Expense</v>
      </c>
      <c r="F150" s="3">
        <v>45553</v>
      </c>
      <c r="G150" s="1">
        <f>MONTH(Table4[[#This Row],[Date]])</f>
        <v>9</v>
      </c>
    </row>
    <row r="151" spans="1:7" x14ac:dyDescent="0.25">
      <c r="A151" s="2">
        <v>-150</v>
      </c>
      <c r="B151" s="1" t="s">
        <v>7</v>
      </c>
      <c r="C151" s="1" t="s">
        <v>8</v>
      </c>
      <c r="D151" s="1" t="s">
        <v>16</v>
      </c>
      <c r="E151" s="1" t="str">
        <f>_xlfn.XLOOKUP(Table4[[#This Row],[Category]],Table3[Category],Table3[Type],"",0,1)</f>
        <v>Expense</v>
      </c>
      <c r="F151" s="3">
        <v>45566</v>
      </c>
      <c r="G151" s="1">
        <f>MONTH(Table4[[#This Row],[Date]])</f>
        <v>10</v>
      </c>
    </row>
    <row r="152" spans="1:7" x14ac:dyDescent="0.25">
      <c r="A152" s="2">
        <v>-40</v>
      </c>
      <c r="B152" s="1" t="s">
        <v>7</v>
      </c>
      <c r="C152" s="1" t="s">
        <v>8</v>
      </c>
      <c r="D152" s="1" t="s">
        <v>19</v>
      </c>
      <c r="E152" s="1" t="str">
        <f>_xlfn.XLOOKUP(Table4[[#This Row],[Category]],Table3[Category],Table3[Type],"",0,1)</f>
        <v>Expense</v>
      </c>
      <c r="F152" s="3">
        <v>45572</v>
      </c>
      <c r="G152" s="1">
        <f>MONTH(Table4[[#This Row],[Date]])</f>
        <v>10</v>
      </c>
    </row>
    <row r="153" spans="1:7" x14ac:dyDescent="0.25">
      <c r="A153" s="2">
        <v>-600</v>
      </c>
      <c r="B153" s="1" t="s">
        <v>7</v>
      </c>
      <c r="C153" s="1" t="s">
        <v>8</v>
      </c>
      <c r="D153" s="1" t="s">
        <v>17</v>
      </c>
      <c r="E153" s="1" t="str">
        <f>_xlfn.XLOOKUP(Table4[[#This Row],[Category]],Table3[Category],Table3[Type],"",0,1)</f>
        <v>Expense</v>
      </c>
      <c r="F153" s="3">
        <v>45573</v>
      </c>
      <c r="G153" s="1">
        <f>MONTH(Table4[[#This Row],[Date]])</f>
        <v>10</v>
      </c>
    </row>
    <row r="154" spans="1:7" x14ac:dyDescent="0.25">
      <c r="A154" s="2">
        <v>4500</v>
      </c>
      <c r="B154" s="1" t="s">
        <v>7</v>
      </c>
      <c r="C154" s="1" t="s">
        <v>8</v>
      </c>
      <c r="D154" s="1" t="s">
        <v>26</v>
      </c>
      <c r="E154" s="1" t="str">
        <f>_xlfn.XLOOKUP(Table4[[#This Row],[Category]],Table3[Category],Table3[Type],"",0,1)</f>
        <v>Income</v>
      </c>
      <c r="F154" s="3">
        <v>45575</v>
      </c>
      <c r="G154" s="1">
        <f>MONTH(Table4[[#This Row],[Date]])</f>
        <v>10</v>
      </c>
    </row>
    <row r="155" spans="1:7" x14ac:dyDescent="0.25">
      <c r="A155" s="2">
        <v>-40</v>
      </c>
      <c r="B155" s="1" t="s">
        <v>7</v>
      </c>
      <c r="C155" s="1" t="s">
        <v>9</v>
      </c>
      <c r="D155" s="1" t="s">
        <v>20</v>
      </c>
      <c r="E155" s="1" t="str">
        <f>_xlfn.XLOOKUP(Table4[[#This Row],[Category]],Table3[Category],Table3[Type],"",0,1)</f>
        <v>Expense</v>
      </c>
      <c r="F155" s="3">
        <v>45576</v>
      </c>
      <c r="G155" s="1">
        <f>MONTH(Table4[[#This Row],[Date]])</f>
        <v>10</v>
      </c>
    </row>
    <row r="156" spans="1:7" x14ac:dyDescent="0.25">
      <c r="A156" s="2">
        <v>-2000</v>
      </c>
      <c r="B156" s="1" t="s">
        <v>7</v>
      </c>
      <c r="C156" s="1" t="s">
        <v>8</v>
      </c>
      <c r="D156" s="1" t="s">
        <v>18</v>
      </c>
      <c r="E156" s="1" t="str">
        <f>_xlfn.XLOOKUP(Table4[[#This Row],[Category]],Table3[Category],Table3[Type],"",0,1)</f>
        <v>Expense</v>
      </c>
      <c r="F156" s="3">
        <v>45576</v>
      </c>
      <c r="G156" s="1">
        <f>MONTH(Table4[[#This Row],[Date]])</f>
        <v>10</v>
      </c>
    </row>
    <row r="157" spans="1:7" x14ac:dyDescent="0.25">
      <c r="A157" s="2">
        <v>20</v>
      </c>
      <c r="B157" s="1" t="s">
        <v>7</v>
      </c>
      <c r="C157" s="1" t="s">
        <v>9</v>
      </c>
      <c r="D157" s="1" t="s">
        <v>31</v>
      </c>
      <c r="E157" s="1" t="str">
        <f>_xlfn.XLOOKUP(Table4[[#This Row],[Category]],Table3[Category],Table3[Type],"",0,1)</f>
        <v>Transfert</v>
      </c>
      <c r="F157" s="3">
        <v>45580</v>
      </c>
      <c r="G157" s="1">
        <f>MONTH(Table4[[#This Row],[Date]])</f>
        <v>10</v>
      </c>
    </row>
    <row r="158" spans="1:7" x14ac:dyDescent="0.25">
      <c r="A158" s="2">
        <v>-20</v>
      </c>
      <c r="B158" s="1" t="s">
        <v>7</v>
      </c>
      <c r="C158" s="1" t="s">
        <v>8</v>
      </c>
      <c r="D158" s="1" t="s">
        <v>31</v>
      </c>
      <c r="E158" s="1" t="str">
        <f>_xlfn.XLOOKUP(Table4[[#This Row],[Category]],Table3[Category],Table3[Type],"",0,1)</f>
        <v>Transfert</v>
      </c>
      <c r="F158" s="3">
        <v>45580</v>
      </c>
      <c r="G158" s="1">
        <f>MONTH(Table4[[#This Row],[Date]])</f>
        <v>10</v>
      </c>
    </row>
    <row r="159" spans="1:7" x14ac:dyDescent="0.25">
      <c r="A159" s="2">
        <v>4500</v>
      </c>
      <c r="B159" s="1" t="s">
        <v>7</v>
      </c>
      <c r="C159" s="1" t="s">
        <v>8</v>
      </c>
      <c r="D159" s="1" t="s">
        <v>26</v>
      </c>
      <c r="E159" s="1" t="str">
        <f>_xlfn.XLOOKUP(Table4[[#This Row],[Category]],Table3[Category],Table3[Type],"",0,1)</f>
        <v>Income</v>
      </c>
      <c r="F159" s="3">
        <v>45606</v>
      </c>
      <c r="G159" s="1">
        <f>MONTH(Table4[[#This Row],[Date]])</f>
        <v>11</v>
      </c>
    </row>
    <row r="160" spans="1:7" x14ac:dyDescent="0.25">
      <c r="A160" s="2">
        <v>-2000</v>
      </c>
      <c r="B160" s="1" t="s">
        <v>7</v>
      </c>
      <c r="C160" s="1" t="s">
        <v>8</v>
      </c>
      <c r="D160" s="1" t="s">
        <v>18</v>
      </c>
      <c r="E160" s="1" t="str">
        <f>_xlfn.XLOOKUP(Table4[[#This Row],[Category]],Table3[Category],Table3[Type],"",0,1)</f>
        <v>Expense</v>
      </c>
      <c r="F160" s="3">
        <v>45607</v>
      </c>
      <c r="G160" s="1">
        <f>MONTH(Table4[[#This Row],[Date]])</f>
        <v>11</v>
      </c>
    </row>
    <row r="161" spans="1:7" x14ac:dyDescent="0.25">
      <c r="A161" s="2">
        <v>-82</v>
      </c>
      <c r="B161" s="1" t="s">
        <v>7</v>
      </c>
      <c r="C161" s="1" t="s">
        <v>8</v>
      </c>
      <c r="D161" s="1" t="s">
        <v>16</v>
      </c>
      <c r="E161" s="1" t="str">
        <f>_xlfn.XLOOKUP(Table4[[#This Row],[Category]],Table3[Category],Table3[Type],"",0,1)</f>
        <v>Expense</v>
      </c>
      <c r="F161" s="3">
        <v>45607</v>
      </c>
      <c r="G161" s="1">
        <f>MONTH(Table4[[#This Row],[Date]])</f>
        <v>11</v>
      </c>
    </row>
    <row r="162" spans="1:7" x14ac:dyDescent="0.25">
      <c r="A162" s="2">
        <v>-200</v>
      </c>
      <c r="B162" s="1" t="s">
        <v>7</v>
      </c>
      <c r="C162" s="1" t="s">
        <v>8</v>
      </c>
      <c r="D162" s="1" t="s">
        <v>17</v>
      </c>
      <c r="E162" s="1" t="str">
        <f>_xlfn.XLOOKUP(Table4[[#This Row],[Category]],Table3[Category],Table3[Type],"",0,1)</f>
        <v>Expense</v>
      </c>
      <c r="F162" s="3">
        <v>45607</v>
      </c>
      <c r="G162" s="1">
        <f>MONTH(Table4[[#This Row],[Date]])</f>
        <v>11</v>
      </c>
    </row>
    <row r="163" spans="1:7" x14ac:dyDescent="0.25">
      <c r="A163" s="2">
        <v>-12</v>
      </c>
      <c r="B163" s="1" t="s">
        <v>7</v>
      </c>
      <c r="C163" s="1" t="s">
        <v>8</v>
      </c>
      <c r="D163" s="1" t="s">
        <v>19</v>
      </c>
      <c r="E163" s="1" t="str">
        <f>_xlfn.XLOOKUP(Table4[[#This Row],[Category]],Table3[Category],Table3[Type],"",0,1)</f>
        <v>Expense</v>
      </c>
      <c r="F163" s="3">
        <v>45608</v>
      </c>
      <c r="G163" s="1">
        <f>MONTH(Table4[[#This Row],[Date]])</f>
        <v>11</v>
      </c>
    </row>
    <row r="164" spans="1:7" x14ac:dyDescent="0.25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_xlfn.XLOOKUP(Table4[[#This Row],[Category]],Table3[Category],Table3[Type],"",0,1)</f>
        <v>Expense</v>
      </c>
      <c r="F164" s="3">
        <v>45610</v>
      </c>
      <c r="G164" s="1">
        <f>MONTH(Table4[[#This Row],[Date]])</f>
        <v>11</v>
      </c>
    </row>
    <row r="165" spans="1:7" x14ac:dyDescent="0.25">
      <c r="A165" s="2">
        <v>40</v>
      </c>
      <c r="B165" s="1" t="s">
        <v>7</v>
      </c>
      <c r="C165" s="1" t="s">
        <v>9</v>
      </c>
      <c r="D165" s="1" t="s">
        <v>31</v>
      </c>
      <c r="E165" s="1" t="str">
        <f>_xlfn.XLOOKUP(Table4[[#This Row],[Category]],Table3[Category],Table3[Type],"",0,1)</f>
        <v>Transfert</v>
      </c>
      <c r="F165" s="3">
        <v>45611</v>
      </c>
      <c r="G165" s="1">
        <f>MONTH(Table4[[#This Row],[Date]])</f>
        <v>11</v>
      </c>
    </row>
    <row r="166" spans="1:7" x14ac:dyDescent="0.25">
      <c r="A166" s="2">
        <v>-40</v>
      </c>
      <c r="B166" s="1" t="s">
        <v>7</v>
      </c>
      <c r="C166" s="1" t="s">
        <v>8</v>
      </c>
      <c r="D166" s="1" t="s">
        <v>31</v>
      </c>
      <c r="E166" s="1" t="str">
        <f>_xlfn.XLOOKUP(Table4[[#This Row],[Category]],Table3[Category],Table3[Type],"",0,1)</f>
        <v>Transfert</v>
      </c>
      <c r="F166" s="3">
        <v>45611</v>
      </c>
      <c r="G166" s="1">
        <f>MONTH(Table4[[#This Row],[Date]])</f>
        <v>11</v>
      </c>
    </row>
    <row r="167" spans="1:7" x14ac:dyDescent="0.25">
      <c r="A167" s="2">
        <v>-28</v>
      </c>
      <c r="B167" s="1" t="s">
        <v>7</v>
      </c>
      <c r="C167" s="1" t="s">
        <v>8</v>
      </c>
      <c r="D167" s="1" t="s">
        <v>17</v>
      </c>
      <c r="E167" s="1" t="str">
        <f>_xlfn.XLOOKUP(Table4[[#This Row],[Category]],Table3[Category],Table3[Type],"",0,1)</f>
        <v>Expense</v>
      </c>
      <c r="F167" s="3">
        <v>45612</v>
      </c>
      <c r="G167" s="1">
        <f>MONTH(Table4[[#This Row],[Date]])</f>
        <v>11</v>
      </c>
    </row>
    <row r="168" spans="1:7" x14ac:dyDescent="0.25">
      <c r="A168" s="2">
        <v>-63</v>
      </c>
      <c r="B168" s="1" t="s">
        <v>7</v>
      </c>
      <c r="C168" s="1" t="s">
        <v>8</v>
      </c>
      <c r="D168" s="1" t="s">
        <v>21</v>
      </c>
      <c r="E168" s="1" t="str">
        <f>_xlfn.XLOOKUP(Table4[[#This Row],[Category]],Table3[Category],Table3[Type],"",0,1)</f>
        <v>Expense</v>
      </c>
      <c r="F168" s="3">
        <v>45613</v>
      </c>
      <c r="G168" s="1">
        <f>MONTH(Table4[[#This Row],[Date]])</f>
        <v>11</v>
      </c>
    </row>
    <row r="169" spans="1:7" x14ac:dyDescent="0.25">
      <c r="A169" s="2">
        <v>-15</v>
      </c>
      <c r="B169" s="1" t="s">
        <v>7</v>
      </c>
      <c r="C169" s="1" t="s">
        <v>8</v>
      </c>
      <c r="D169" s="1" t="s">
        <v>16</v>
      </c>
      <c r="E169" s="1" t="str">
        <f>_xlfn.XLOOKUP(Table4[[#This Row],[Category]],Table3[Category],Table3[Type],"",0,1)</f>
        <v>Expense</v>
      </c>
      <c r="F169" s="3">
        <v>45613</v>
      </c>
      <c r="G169" s="1">
        <f>MONTH(Table4[[#This Row],[Date]])</f>
        <v>11</v>
      </c>
    </row>
    <row r="170" spans="1:7" x14ac:dyDescent="0.25">
      <c r="A170" s="2">
        <v>-44</v>
      </c>
      <c r="B170" s="1" t="s">
        <v>7</v>
      </c>
      <c r="C170" s="1" t="s">
        <v>8</v>
      </c>
      <c r="D170" s="1" t="s">
        <v>17</v>
      </c>
      <c r="E170" s="1" t="str">
        <f>_xlfn.XLOOKUP(Table4[[#This Row],[Category]],Table3[Category],Table3[Type],"",0,1)</f>
        <v>Expense</v>
      </c>
      <c r="F170" s="3">
        <v>45615</v>
      </c>
      <c r="G170" s="1">
        <f>MONTH(Table4[[#This Row],[Date]])</f>
        <v>11</v>
      </c>
    </row>
    <row r="171" spans="1:7" x14ac:dyDescent="0.25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_xlfn.XLOOKUP(Table4[[#This Row],[Category]],Table3[Category],Table3[Type],"",0,1)</f>
        <v>Expense</v>
      </c>
      <c r="F171" s="3">
        <v>45616</v>
      </c>
      <c r="G171" s="1">
        <f>MONTH(Table4[[#This Row],[Date]])</f>
        <v>11</v>
      </c>
    </row>
    <row r="172" spans="1:7" x14ac:dyDescent="0.25">
      <c r="A172" s="2">
        <v>-169</v>
      </c>
      <c r="B172" s="1" t="s">
        <v>7</v>
      </c>
      <c r="C172" s="1" t="s">
        <v>8</v>
      </c>
      <c r="D172" s="1" t="s">
        <v>24</v>
      </c>
      <c r="E172" s="1" t="str">
        <f>_xlfn.XLOOKUP(Table4[[#This Row],[Category]],Table3[Category],Table3[Type],"",0,1)</f>
        <v>Expense</v>
      </c>
      <c r="F172" s="3">
        <v>45617</v>
      </c>
      <c r="G172" s="1">
        <f>MONTH(Table4[[#This Row],[Date]])</f>
        <v>11</v>
      </c>
    </row>
    <row r="173" spans="1:7" x14ac:dyDescent="0.25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_xlfn.XLOOKUP(Table4[[#This Row],[Category]],Table3[Category],Table3[Type],"",0,1)</f>
        <v>Expense</v>
      </c>
      <c r="F173" s="3">
        <v>45618</v>
      </c>
      <c r="G173" s="1">
        <f>MONTH(Table4[[#This Row],[Date]])</f>
        <v>11</v>
      </c>
    </row>
    <row r="174" spans="1:7" x14ac:dyDescent="0.25">
      <c r="A174" s="2">
        <v>-80</v>
      </c>
      <c r="B174" s="1" t="s">
        <v>7</v>
      </c>
      <c r="C174" s="1" t="s">
        <v>8</v>
      </c>
      <c r="D174" s="1" t="s">
        <v>17</v>
      </c>
      <c r="E174" s="1" t="str">
        <f>_xlfn.XLOOKUP(Table4[[#This Row],[Category]],Table3[Category],Table3[Type],"",0,1)</f>
        <v>Expense</v>
      </c>
      <c r="F174" s="3">
        <v>45618</v>
      </c>
      <c r="G174" s="1">
        <f>MONTH(Table4[[#This Row],[Date]])</f>
        <v>11</v>
      </c>
    </row>
    <row r="175" spans="1:7" x14ac:dyDescent="0.25">
      <c r="A175" s="2">
        <v>-70</v>
      </c>
      <c r="B175" s="1" t="s">
        <v>7</v>
      </c>
      <c r="C175" s="1" t="s">
        <v>8</v>
      </c>
      <c r="D175" s="1" t="s">
        <v>21</v>
      </c>
      <c r="E175" s="1" t="str">
        <f>_xlfn.XLOOKUP(Table4[[#This Row],[Category]],Table3[Category],Table3[Type],"",0,1)</f>
        <v>Expense</v>
      </c>
      <c r="F175" s="3">
        <v>45618</v>
      </c>
      <c r="G175" s="1">
        <f>MONTH(Table4[[#This Row],[Date]])</f>
        <v>11</v>
      </c>
    </row>
    <row r="176" spans="1:7" x14ac:dyDescent="0.25">
      <c r="A176" s="2">
        <v>-35</v>
      </c>
      <c r="B176" s="1" t="s">
        <v>7</v>
      </c>
      <c r="C176" s="1" t="s">
        <v>8</v>
      </c>
      <c r="D176" s="1" t="s">
        <v>19</v>
      </c>
      <c r="E176" s="1" t="str">
        <f>_xlfn.XLOOKUP(Table4[[#This Row],[Category]],Table3[Category],Table3[Type],"",0,1)</f>
        <v>Expense</v>
      </c>
      <c r="F176" s="3">
        <v>45619</v>
      </c>
      <c r="G176" s="1">
        <f>MONTH(Table4[[#This Row],[Date]])</f>
        <v>11</v>
      </c>
    </row>
    <row r="177" spans="1:7" x14ac:dyDescent="0.25">
      <c r="A177" s="2">
        <v>-11</v>
      </c>
      <c r="B177" s="1" t="s">
        <v>7</v>
      </c>
      <c r="C177" s="1" t="s">
        <v>8</v>
      </c>
      <c r="D177" s="1" t="s">
        <v>16</v>
      </c>
      <c r="E177" s="1" t="str">
        <f>_xlfn.XLOOKUP(Table4[[#This Row],[Category]],Table3[Category],Table3[Type],"",0,1)</f>
        <v>Expense</v>
      </c>
      <c r="F177" s="3">
        <v>45619</v>
      </c>
      <c r="G177" s="1">
        <f>MONTH(Table4[[#This Row],[Date]])</f>
        <v>11</v>
      </c>
    </row>
    <row r="178" spans="1:7" x14ac:dyDescent="0.25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_xlfn.XLOOKUP(Table4[[#This Row],[Category]],Table3[Category],Table3[Type],"",0,1)</f>
        <v>Expense</v>
      </c>
      <c r="F178" s="3">
        <v>45621</v>
      </c>
      <c r="G178" s="1">
        <f>MONTH(Table4[[#This Row],[Date]])</f>
        <v>11</v>
      </c>
    </row>
    <row r="179" spans="1:7" x14ac:dyDescent="0.25">
      <c r="A179" s="2">
        <v>-58</v>
      </c>
      <c r="B179" s="1" t="s">
        <v>7</v>
      </c>
      <c r="C179" s="1" t="s">
        <v>8</v>
      </c>
      <c r="D179" s="1" t="s">
        <v>17</v>
      </c>
      <c r="E179" s="1" t="str">
        <f>_xlfn.XLOOKUP(Table4[[#This Row],[Category]],Table3[Category],Table3[Type],"",0,1)</f>
        <v>Expense</v>
      </c>
      <c r="F179" s="3">
        <v>45622</v>
      </c>
      <c r="G179" s="1">
        <f>MONTH(Table4[[#This Row],[Date]])</f>
        <v>11</v>
      </c>
    </row>
    <row r="180" spans="1:7" x14ac:dyDescent="0.25">
      <c r="A180" s="2">
        <v>-52</v>
      </c>
      <c r="B180" s="1" t="s">
        <v>7</v>
      </c>
      <c r="C180" s="1" t="s">
        <v>8</v>
      </c>
      <c r="D180" s="1" t="s">
        <v>16</v>
      </c>
      <c r="E180" s="1" t="str">
        <f>_xlfn.XLOOKUP(Table4[[#This Row],[Category]],Table3[Category],Table3[Type],"",0,1)</f>
        <v>Expense</v>
      </c>
      <c r="F180" s="3">
        <v>45623</v>
      </c>
      <c r="G180" s="1">
        <f>MONTH(Table4[[#This Row],[Date]])</f>
        <v>11</v>
      </c>
    </row>
    <row r="181" spans="1:7" x14ac:dyDescent="0.25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_xlfn.XLOOKUP(Table4[[#This Row],[Category]],Table3[Category],Table3[Type],"",0,1)</f>
        <v>Expense</v>
      </c>
      <c r="F181" s="3">
        <v>45623</v>
      </c>
      <c r="G181" s="1">
        <f>MONTH(Table4[[#This Row],[Date]])</f>
        <v>11</v>
      </c>
    </row>
    <row r="182" spans="1:7" x14ac:dyDescent="0.25">
      <c r="A182" s="2">
        <v>-48</v>
      </c>
      <c r="B182" s="1" t="s">
        <v>7</v>
      </c>
      <c r="C182" s="1" t="s">
        <v>8</v>
      </c>
      <c r="D182" s="1" t="s">
        <v>16</v>
      </c>
      <c r="E182" s="1" t="str">
        <f>_xlfn.XLOOKUP(Table4[[#This Row],[Category]],Table3[Category],Table3[Type],"",0,1)</f>
        <v>Expense</v>
      </c>
      <c r="F182" s="3">
        <v>45623</v>
      </c>
      <c r="G182" s="1">
        <f>MONTH(Table4[[#This Row],[Date]])</f>
        <v>11</v>
      </c>
    </row>
    <row r="183" spans="1:7" x14ac:dyDescent="0.25">
      <c r="A183" s="2">
        <v>-65</v>
      </c>
      <c r="B183" s="1" t="s">
        <v>7</v>
      </c>
      <c r="C183" s="1" t="s">
        <v>8</v>
      </c>
      <c r="D183" s="1" t="s">
        <v>24</v>
      </c>
      <c r="E183" s="1" t="str">
        <f>_xlfn.XLOOKUP(Table4[[#This Row],[Category]],Table3[Category],Table3[Type],"",0,1)</f>
        <v>Expense</v>
      </c>
      <c r="F183" s="3">
        <v>45624</v>
      </c>
      <c r="G183" s="1">
        <f>MONTH(Table4[[#This Row],[Date]])</f>
        <v>11</v>
      </c>
    </row>
    <row r="184" spans="1:7" x14ac:dyDescent="0.25">
      <c r="A184" s="2">
        <v>400</v>
      </c>
      <c r="B184" s="1" t="s">
        <v>13</v>
      </c>
      <c r="C184" s="1" t="s">
        <v>14</v>
      </c>
      <c r="D184" s="1" t="s">
        <v>29</v>
      </c>
      <c r="E184" s="1" t="str">
        <f>_xlfn.XLOOKUP(Table4[[#This Row],[Category]],Table3[Category],Table3[Type],"",0,1)</f>
        <v>Income</v>
      </c>
      <c r="F184" s="3">
        <v>45625</v>
      </c>
      <c r="G184" s="1">
        <f>MONTH(Table4[[#This Row],[Date]])</f>
        <v>11</v>
      </c>
    </row>
    <row r="185" spans="1:7" x14ac:dyDescent="0.25">
      <c r="A185" s="2">
        <v>-96</v>
      </c>
      <c r="B185" s="1" t="s">
        <v>7</v>
      </c>
      <c r="C185" s="1" t="s">
        <v>8</v>
      </c>
      <c r="D185" s="1" t="s">
        <v>17</v>
      </c>
      <c r="E185" s="1" t="str">
        <f>_xlfn.XLOOKUP(Table4[[#This Row],[Category]],Table3[Category],Table3[Type],"",0,1)</f>
        <v>Expense</v>
      </c>
      <c r="F185" s="3">
        <v>45626</v>
      </c>
      <c r="G185" s="1">
        <f>MONTH(Table4[[#This Row],[Date]])</f>
        <v>11</v>
      </c>
    </row>
    <row r="186" spans="1:7" x14ac:dyDescent="0.25">
      <c r="A186" s="2">
        <v>-50</v>
      </c>
      <c r="B186" s="1" t="s">
        <v>7</v>
      </c>
      <c r="C186" s="1" t="s">
        <v>8</v>
      </c>
      <c r="D186" s="1" t="s">
        <v>17</v>
      </c>
      <c r="E186" s="1" t="str">
        <f>_xlfn.XLOOKUP(Table4[[#This Row],[Category]],Table3[Category],Table3[Type],"",0,1)</f>
        <v>Expense</v>
      </c>
      <c r="F186" s="3">
        <v>45627</v>
      </c>
      <c r="G186" s="1">
        <f>MONTH(Table4[[#This Row],[Date]])</f>
        <v>12</v>
      </c>
    </row>
    <row r="187" spans="1:7" x14ac:dyDescent="0.25">
      <c r="A187" s="2">
        <v>-50</v>
      </c>
      <c r="B187" s="1" t="s">
        <v>7</v>
      </c>
      <c r="C187" s="1" t="s">
        <v>8</v>
      </c>
      <c r="D187" s="1" t="s">
        <v>17</v>
      </c>
      <c r="E187" s="1" t="str">
        <f>_xlfn.XLOOKUP(Table4[[#This Row],[Category]],Table3[Category],Table3[Type],"",0,1)</f>
        <v>Expense</v>
      </c>
      <c r="F187" s="3">
        <v>45627</v>
      </c>
      <c r="G187" s="1">
        <f>MONTH(Table4[[#This Row],[Date]])</f>
        <v>12</v>
      </c>
    </row>
    <row r="188" spans="1:7" x14ac:dyDescent="0.25">
      <c r="A188" s="2">
        <v>-5</v>
      </c>
      <c r="B188" s="1" t="s">
        <v>7</v>
      </c>
      <c r="C188" s="1" t="s">
        <v>8</v>
      </c>
      <c r="D188" s="1" t="s">
        <v>21</v>
      </c>
      <c r="E188" s="1" t="str">
        <f>_xlfn.XLOOKUP(Table4[[#This Row],[Category]],Table3[Category],Table3[Type],"",0,1)</f>
        <v>Expense</v>
      </c>
      <c r="F188" s="3">
        <v>45628</v>
      </c>
      <c r="G188" s="1">
        <f>MONTH(Table4[[#This Row],[Date]])</f>
        <v>12</v>
      </c>
    </row>
    <row r="189" spans="1:7" x14ac:dyDescent="0.25">
      <c r="A189" s="2">
        <v>-100</v>
      </c>
      <c r="B189" s="1" t="s">
        <v>7</v>
      </c>
      <c r="C189" s="1" t="s">
        <v>8</v>
      </c>
      <c r="D189" s="1" t="s">
        <v>24</v>
      </c>
      <c r="E189" s="1" t="str">
        <f>_xlfn.XLOOKUP(Table4[[#This Row],[Category]],Table3[Category],Table3[Type],"",0,1)</f>
        <v>Expense</v>
      </c>
      <c r="F189" s="3">
        <v>45628</v>
      </c>
      <c r="G189" s="1">
        <f>MONTH(Table4[[#This Row],[Date]])</f>
        <v>12</v>
      </c>
    </row>
    <row r="190" spans="1:7" x14ac:dyDescent="0.25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_xlfn.XLOOKUP(Table4[[#This Row],[Category]],Table3[Category],Table3[Type],"",0,1)</f>
        <v>Expense</v>
      </c>
      <c r="F190" s="3">
        <v>45628</v>
      </c>
      <c r="G190" s="1">
        <f>MONTH(Table4[[#This Row],[Date]])</f>
        <v>12</v>
      </c>
    </row>
    <row r="191" spans="1:7" x14ac:dyDescent="0.25">
      <c r="A191" s="2">
        <v>-5</v>
      </c>
      <c r="B191" s="1" t="s">
        <v>7</v>
      </c>
      <c r="C191" s="1" t="s">
        <v>8</v>
      </c>
      <c r="D191" s="1" t="s">
        <v>21</v>
      </c>
      <c r="E191" s="1" t="str">
        <f>_xlfn.XLOOKUP(Table4[[#This Row],[Category]],Table3[Category],Table3[Type],"",0,1)</f>
        <v>Expense</v>
      </c>
      <c r="F191" s="3">
        <v>45628</v>
      </c>
      <c r="G191" s="1">
        <f>MONTH(Table4[[#This Row],[Date]])</f>
        <v>12</v>
      </c>
    </row>
    <row r="192" spans="1:7" x14ac:dyDescent="0.25">
      <c r="A192" s="2">
        <v>-100</v>
      </c>
      <c r="B192" s="1" t="s">
        <v>7</v>
      </c>
      <c r="C192" s="1" t="s">
        <v>8</v>
      </c>
      <c r="D192" s="1" t="s">
        <v>24</v>
      </c>
      <c r="E192" s="1" t="str">
        <f>_xlfn.XLOOKUP(Table4[[#This Row],[Category]],Table3[Category],Table3[Type],"",0,1)</f>
        <v>Expense</v>
      </c>
      <c r="F192" s="3">
        <v>45628</v>
      </c>
      <c r="G192" s="1">
        <f>MONTH(Table4[[#This Row],[Date]])</f>
        <v>12</v>
      </c>
    </row>
    <row r="193" spans="1:7" x14ac:dyDescent="0.25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_xlfn.XLOOKUP(Table4[[#This Row],[Category]],Table3[Category],Table3[Type],"",0,1)</f>
        <v>Expense</v>
      </c>
      <c r="F193" s="3">
        <v>45628</v>
      </c>
      <c r="G193" s="1">
        <f>MONTH(Table4[[#This Row],[Date]])</f>
        <v>12</v>
      </c>
    </row>
    <row r="194" spans="1:7" x14ac:dyDescent="0.25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_xlfn.XLOOKUP(Table4[[#This Row],[Category]],Table3[Category],Table3[Type],"",0,1)</f>
        <v>Expense</v>
      </c>
      <c r="F194" s="3">
        <v>45629</v>
      </c>
      <c r="G194" s="1">
        <f>MONTH(Table4[[#This Row],[Date]])</f>
        <v>12</v>
      </c>
    </row>
    <row r="195" spans="1:7" x14ac:dyDescent="0.25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_xlfn.XLOOKUP(Table4[[#This Row],[Category]],Table3[Category],Table3[Type],"",0,1)</f>
        <v>Expense</v>
      </c>
      <c r="F195" s="3">
        <v>45629</v>
      </c>
      <c r="G195" s="1">
        <f>MONTH(Table4[[#This Row],[Date]])</f>
        <v>12</v>
      </c>
    </row>
    <row r="196" spans="1:7" x14ac:dyDescent="0.25">
      <c r="A196" s="2">
        <v>-100</v>
      </c>
      <c r="B196" s="1" t="s">
        <v>7</v>
      </c>
      <c r="C196" s="1" t="s">
        <v>8</v>
      </c>
      <c r="D196" s="1" t="s">
        <v>17</v>
      </c>
      <c r="E196" s="1" t="str">
        <f>_xlfn.XLOOKUP(Table4[[#This Row],[Category]],Table3[Category],Table3[Type],"",0,1)</f>
        <v>Expense</v>
      </c>
      <c r="F196" s="3">
        <v>45632</v>
      </c>
      <c r="G196" s="1">
        <f>MONTH(Table4[[#This Row],[Date]])</f>
        <v>12</v>
      </c>
    </row>
    <row r="197" spans="1:7" x14ac:dyDescent="0.25">
      <c r="A197" s="2">
        <v>-100</v>
      </c>
      <c r="B197" s="1" t="s">
        <v>7</v>
      </c>
      <c r="C197" s="1" t="s">
        <v>8</v>
      </c>
      <c r="D197" s="1" t="s">
        <v>17</v>
      </c>
      <c r="E197" s="1" t="str">
        <f>_xlfn.XLOOKUP(Table4[[#This Row],[Category]],Table3[Category],Table3[Type],"",0,1)</f>
        <v>Expense</v>
      </c>
      <c r="F197" s="3">
        <v>45632</v>
      </c>
      <c r="G197" s="1">
        <f>MONTH(Table4[[#This Row],[Date]])</f>
        <v>12</v>
      </c>
    </row>
    <row r="198" spans="1:7" x14ac:dyDescent="0.25">
      <c r="A198" s="2">
        <v>4500</v>
      </c>
      <c r="B198" s="1" t="s">
        <v>7</v>
      </c>
      <c r="C198" s="1" t="s">
        <v>8</v>
      </c>
      <c r="D198" s="1" t="s">
        <v>26</v>
      </c>
      <c r="E198" s="1" t="str">
        <f>_xlfn.XLOOKUP(Table4[[#This Row],[Category]],Table3[Category],Table3[Type],"",0,1)</f>
        <v>Income</v>
      </c>
      <c r="F198" s="3">
        <v>45636</v>
      </c>
      <c r="G198" s="1">
        <f>MONTH(Table4[[#This Row],[Date]])</f>
        <v>12</v>
      </c>
    </row>
    <row r="199" spans="1:7" x14ac:dyDescent="0.25">
      <c r="A199" s="2">
        <v>-2000</v>
      </c>
      <c r="B199" s="1" t="s">
        <v>7</v>
      </c>
      <c r="C199" s="1" t="s">
        <v>8</v>
      </c>
      <c r="D199" s="1" t="s">
        <v>18</v>
      </c>
      <c r="E199" s="1" t="str">
        <f>_xlfn.XLOOKUP(Table4[[#This Row],[Category]],Table3[Category],Table3[Type],"",0,1)</f>
        <v>Expense</v>
      </c>
      <c r="F199" s="3">
        <v>45637</v>
      </c>
      <c r="G199" s="1">
        <f>MONTH(Table4[[#This Row],[Date]])</f>
        <v>12</v>
      </c>
    </row>
    <row r="200" spans="1:7" x14ac:dyDescent="0.25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_xlfn.XLOOKUP(Table4[[#This Row],[Category]],Table3[Category],Table3[Type],"",0,1)</f>
        <v>Expense</v>
      </c>
      <c r="F200" s="3">
        <v>45640</v>
      </c>
      <c r="G200" s="1">
        <f>MONTH(Table4[[#This Row],[Date]])</f>
        <v>12</v>
      </c>
    </row>
    <row r="201" spans="1:7" x14ac:dyDescent="0.25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_xlfn.XLOOKUP(Table4[[#This Row],[Category]],Table3[Category],Table3[Type],"",0,1)</f>
        <v>Expense</v>
      </c>
      <c r="F201" s="3">
        <v>45641</v>
      </c>
      <c r="G201" s="1">
        <f>MONTH(Table4[[#This Row],[Date]])</f>
        <v>12</v>
      </c>
    </row>
    <row r="202" spans="1:7" x14ac:dyDescent="0.25">
      <c r="A202" s="2">
        <v>-100</v>
      </c>
      <c r="B202" s="1" t="s">
        <v>7</v>
      </c>
      <c r="C202" s="1" t="s">
        <v>8</v>
      </c>
      <c r="D202" s="1" t="s">
        <v>17</v>
      </c>
      <c r="E202" s="1" t="str">
        <f>_xlfn.XLOOKUP(Table4[[#This Row],[Category]],Table3[Category],Table3[Type],"",0,1)</f>
        <v>Expense</v>
      </c>
      <c r="F202" s="3">
        <v>45644</v>
      </c>
      <c r="G202" s="1">
        <f>MONTH(Table4[[#This Row],[Date]])</f>
        <v>12</v>
      </c>
    </row>
    <row r="203" spans="1:7" x14ac:dyDescent="0.25">
      <c r="A203" s="2">
        <v>500</v>
      </c>
      <c r="B203" s="1" t="s">
        <v>13</v>
      </c>
      <c r="C203" s="1" t="s">
        <v>14</v>
      </c>
      <c r="D203" s="1" t="s">
        <v>29</v>
      </c>
      <c r="E203" s="1" t="str">
        <f>_xlfn.XLOOKUP(Table4[[#This Row],[Category]],Table3[Category],Table3[Type],"",0,1)</f>
        <v>Income</v>
      </c>
      <c r="F203" s="3">
        <v>45648</v>
      </c>
      <c r="G203" s="1">
        <f>MONTH(Table4[[#This Row],[Date]])</f>
        <v>12</v>
      </c>
    </row>
    <row r="204" spans="1:7" x14ac:dyDescent="0.25">
      <c r="A204" s="2">
        <v>-100</v>
      </c>
      <c r="B204" s="1" t="s">
        <v>13</v>
      </c>
      <c r="C204" s="1" t="s">
        <v>14</v>
      </c>
      <c r="D204" s="1" t="s">
        <v>20</v>
      </c>
      <c r="E204" s="1" t="str">
        <f>_xlfn.XLOOKUP(Table4[[#This Row],[Category]],Table3[Category],Table3[Type],"",0,1)</f>
        <v>Expense</v>
      </c>
      <c r="F204" s="3">
        <v>45649</v>
      </c>
      <c r="G204" s="1">
        <f>MONTH(Table4[[#This Row],[Date]])</f>
        <v>12</v>
      </c>
    </row>
    <row r="205" spans="1:7" x14ac:dyDescent="0.25">
      <c r="A205" s="2">
        <v>1500</v>
      </c>
      <c r="B205" s="1" t="s">
        <v>13</v>
      </c>
      <c r="C205" s="1" t="s">
        <v>14</v>
      </c>
      <c r="D205" s="1" t="s">
        <v>29</v>
      </c>
      <c r="E205" s="1" t="str">
        <f>_xlfn.XLOOKUP(Table4[[#This Row],[Category]],Table3[Category],Table3[Type],"",0,1)</f>
        <v>Income</v>
      </c>
      <c r="F205" s="3">
        <v>45650</v>
      </c>
      <c r="G205" s="1">
        <f>MONTH(Table4[[#This Row],[Date]])</f>
        <v>12</v>
      </c>
    </row>
    <row r="206" spans="1:7" x14ac:dyDescent="0.25">
      <c r="A206" s="2">
        <v>-500</v>
      </c>
      <c r="B206" s="1" t="s">
        <v>13</v>
      </c>
      <c r="C206" s="1" t="s">
        <v>14</v>
      </c>
      <c r="D206" s="1" t="s">
        <v>24</v>
      </c>
      <c r="E206" s="1" t="str">
        <f>_xlfn.XLOOKUP(Table4[[#This Row],[Category]],Table3[Category],Table3[Type],"",0,1)</f>
        <v>Expense</v>
      </c>
      <c r="F206" s="3">
        <v>45654</v>
      </c>
      <c r="G206" s="1">
        <f>MONTH(Table4[[#This Row],[Date]])</f>
        <v>12</v>
      </c>
    </row>
    <row r="207" spans="1:7" x14ac:dyDescent="0.25">
      <c r="A207" s="2">
        <v>-300</v>
      </c>
      <c r="B207" s="1" t="s">
        <v>13</v>
      </c>
      <c r="C207" s="1" t="s">
        <v>14</v>
      </c>
      <c r="D207" s="1" t="s">
        <v>17</v>
      </c>
      <c r="E207" s="1" t="str">
        <f>_xlfn.XLOOKUP(Table4[[#This Row],[Category]],Table3[Category],Table3[Type],"",0,1)</f>
        <v>Expense</v>
      </c>
      <c r="F207" s="3">
        <v>45656</v>
      </c>
      <c r="G207" s="1">
        <f>MONTH(Table4[[#This Row],[Date]])</f>
        <v>12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3E5EFF17-79BC-4488-BBC5-C0953DD3B1D4}">
          <x14:formula1>
            <xm:f>Dicionary!$G$1:$I$1</xm:f>
          </x14:formula1>
          <xm:sqref>B2:B1048576</xm:sqref>
        </x14:dataValidation>
        <x14:dataValidation type="list" showInputMessage="1" showErrorMessage="1" xr:uid="{10343B68-DBCF-47BB-B3CD-B4383E95E08D}">
          <x14:formula1>
            <xm:f>Dicionary!$A$2:$A$17</xm:f>
          </x14:formula1>
          <xm:sqref>D2:D1048576</xm:sqref>
        </x14:dataValidation>
        <x14:dataValidation type="list" allowBlank="1" showInputMessage="1" showErrorMessage="1" xr:uid="{F9B4A126-4C3A-4DC0-B940-EC36E6316FD2}">
          <x14:formula1>
            <xm:f>CHOOSE(MATCH(B2,Dicionary!$G$1:$I$1,0),Dicionary!$H$2,Dicionary!$H$3)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C6BC-B9BD-47EE-B2CB-AEB1438C6764}">
  <dimension ref="A1:I17"/>
  <sheetViews>
    <sheetView workbookViewId="0"/>
  </sheetViews>
  <sheetFormatPr defaultRowHeight="15" x14ac:dyDescent="0.25"/>
  <cols>
    <col min="1" max="1" width="16" bestFit="1" customWidth="1"/>
    <col min="4" max="4" width="15.85546875" customWidth="1"/>
    <col min="5" max="5" width="17.5703125" customWidth="1"/>
    <col min="7" max="7" width="15.42578125" bestFit="1" customWidth="1"/>
    <col min="8" max="8" width="17.5703125" bestFit="1" customWidth="1"/>
    <col min="9" max="9" width="8.42578125" bestFit="1" customWidth="1"/>
  </cols>
  <sheetData>
    <row r="1" spans="1:9" ht="15.75" thickBot="1" x14ac:dyDescent="0.3">
      <c r="A1" s="1" t="s">
        <v>3</v>
      </c>
      <c r="B1" t="s">
        <v>4</v>
      </c>
      <c r="D1" s="6" t="s">
        <v>0</v>
      </c>
      <c r="E1" s="9" t="s">
        <v>2</v>
      </c>
      <c r="G1" t="s">
        <v>11</v>
      </c>
      <c r="H1" t="s">
        <v>7</v>
      </c>
      <c r="I1" t="s">
        <v>13</v>
      </c>
    </row>
    <row r="2" spans="1:9" ht="15.75" thickTop="1" x14ac:dyDescent="0.25">
      <c r="A2" s="1" t="s">
        <v>18</v>
      </c>
      <c r="B2" t="s">
        <v>32</v>
      </c>
      <c r="D2" s="8" t="s">
        <v>11</v>
      </c>
      <c r="E2" s="11" t="s">
        <v>8</v>
      </c>
      <c r="G2" s="5" t="s">
        <v>8</v>
      </c>
      <c r="H2" s="4" t="s">
        <v>8</v>
      </c>
      <c r="I2" s="5" t="s">
        <v>15</v>
      </c>
    </row>
    <row r="3" spans="1:9" x14ac:dyDescent="0.25">
      <c r="A3" s="1" t="s">
        <v>22</v>
      </c>
      <c r="B3" t="s">
        <v>32</v>
      </c>
      <c r="D3" s="7" t="s">
        <v>11</v>
      </c>
      <c r="E3" s="10" t="s">
        <v>12</v>
      </c>
      <c r="G3" s="4" t="s">
        <v>12</v>
      </c>
      <c r="H3" s="4" t="s">
        <v>9</v>
      </c>
      <c r="I3" s="4" t="s">
        <v>14</v>
      </c>
    </row>
    <row r="4" spans="1:9" x14ac:dyDescent="0.25">
      <c r="A4" s="1" t="s">
        <v>20</v>
      </c>
      <c r="B4" t="s">
        <v>32</v>
      </c>
      <c r="D4" s="7" t="s">
        <v>7</v>
      </c>
      <c r="E4" s="10" t="s">
        <v>8</v>
      </c>
      <c r="H4" s="5" t="s">
        <v>10</v>
      </c>
    </row>
    <row r="5" spans="1:9" x14ac:dyDescent="0.25">
      <c r="A5" s="1" t="s">
        <v>17</v>
      </c>
      <c r="B5" t="s">
        <v>32</v>
      </c>
      <c r="D5" s="7" t="s">
        <v>7</v>
      </c>
      <c r="E5" s="10" t="s">
        <v>9</v>
      </c>
    </row>
    <row r="6" spans="1:9" x14ac:dyDescent="0.25">
      <c r="A6" s="1" t="s">
        <v>21</v>
      </c>
      <c r="B6" t="s">
        <v>32</v>
      </c>
      <c r="D6" s="8" t="s">
        <v>7</v>
      </c>
      <c r="E6" s="11" t="s">
        <v>10</v>
      </c>
    </row>
    <row r="7" spans="1:9" x14ac:dyDescent="0.25">
      <c r="A7" s="1" t="s">
        <v>19</v>
      </c>
      <c r="B7" t="s">
        <v>32</v>
      </c>
      <c r="D7" s="8" t="s">
        <v>13</v>
      </c>
      <c r="E7" s="11" t="s">
        <v>15</v>
      </c>
    </row>
    <row r="8" spans="1:9" x14ac:dyDescent="0.25">
      <c r="A8" s="1" t="s">
        <v>24</v>
      </c>
      <c r="B8" t="s">
        <v>32</v>
      </c>
      <c r="D8" s="12" t="s">
        <v>13</v>
      </c>
      <c r="E8" s="13" t="s">
        <v>14</v>
      </c>
    </row>
    <row r="9" spans="1:9" x14ac:dyDescent="0.25">
      <c r="A9" s="1" t="s">
        <v>23</v>
      </c>
      <c r="B9" t="s">
        <v>32</v>
      </c>
    </row>
    <row r="10" spans="1:9" x14ac:dyDescent="0.25">
      <c r="A10" s="1" t="s">
        <v>16</v>
      </c>
      <c r="B10" t="s">
        <v>32</v>
      </c>
    </row>
    <row r="11" spans="1:9" x14ac:dyDescent="0.25">
      <c r="A11" s="1" t="s">
        <v>25</v>
      </c>
      <c r="B11" t="s">
        <v>33</v>
      </c>
    </row>
    <row r="12" spans="1:9" x14ac:dyDescent="0.25">
      <c r="A12" s="1" t="s">
        <v>28</v>
      </c>
      <c r="B12" t="s">
        <v>33</v>
      </c>
    </row>
    <row r="13" spans="1:9" x14ac:dyDescent="0.25">
      <c r="A13" s="1" t="s">
        <v>29</v>
      </c>
      <c r="B13" t="s">
        <v>33</v>
      </c>
    </row>
    <row r="14" spans="1:9" x14ac:dyDescent="0.25">
      <c r="A14" s="1" t="s">
        <v>30</v>
      </c>
      <c r="B14" t="s">
        <v>33</v>
      </c>
    </row>
    <row r="15" spans="1:9" x14ac:dyDescent="0.25">
      <c r="A15" s="1" t="s">
        <v>26</v>
      </c>
      <c r="B15" t="s">
        <v>33</v>
      </c>
    </row>
    <row r="16" spans="1:9" x14ac:dyDescent="0.25">
      <c r="A16" s="1" t="s">
        <v>27</v>
      </c>
      <c r="B16" t="s">
        <v>33</v>
      </c>
    </row>
    <row r="17" spans="1:2" x14ac:dyDescent="0.25">
      <c r="A17" s="1" t="s">
        <v>31</v>
      </c>
      <c r="B17" t="s">
        <v>34</v>
      </c>
    </row>
  </sheetData>
  <dataValidations count="1">
    <dataValidation type="list" allowBlank="1" showInputMessage="1" showErrorMessage="1" sqref="B2:B17" xr:uid="{D5592ECE-06AF-41BF-B12A-A053D0FCCA0B}">
      <formula1>"Income,Transfert, Expense"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operations</vt:lpstr>
      <vt:lpstr>Dicionary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Norbert Czerw</cp:lastModifiedBy>
  <dcterms:created xsi:type="dcterms:W3CDTF">2024-12-14T15:11:08Z</dcterms:created>
  <dcterms:modified xsi:type="dcterms:W3CDTF">2025-11-24T13:21:25Z</dcterms:modified>
</cp:coreProperties>
</file>